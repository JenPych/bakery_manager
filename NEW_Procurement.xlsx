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/>
  <mc:AlternateContent xmlns:mc="http://schemas.openxmlformats.org/markup-compatibility/2006">
    <mc:Choice Requires="x15">
      <x15ac:absPath xmlns:x15ac="http://schemas.microsoft.com/office/spreadsheetml/2010/11/ac" url="/Users/jayanshrestha/Downloads/Images/"/>
    </mc:Choice>
  </mc:AlternateContent>
  <xr:revisionPtr revIDLastSave="0" documentId="13_ncr:1_{586828DD-54A2-E545-B2B1-8A2848999175}" xr6:coauthVersionLast="47" xr6:coauthVersionMax="47" xr10:uidLastSave="{00000000-0000-0000-0000-000000000000}"/>
  <bookViews>
    <workbookView xWindow="0" yWindow="0" windowWidth="38400" windowHeight="24000" xr2:uid="{00000000-000D-0000-FFFF-FFFF00000000}"/>
  </bookViews>
  <sheets>
    <sheet name="kitchen_inventory_master" sheetId="1" r:id="rId1"/>
    <sheet name="Sheet1" sheetId="4" r:id="rId2"/>
    <sheet name="Inventory Tracker" sheetId="2" r:id="rId3"/>
    <sheet name="Kitchen Assets" sheetId="3" r:id="rId4"/>
  </sheets>
  <definedNames>
    <definedName name="_xlnm._FilterDatabase" localSheetId="0" hidden="1">kitchen_inventory_master!$B$1:$B$991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bOvRY58W4lyxPnzWH0IQ7lmiqjjzt+eVD+k5dkqUyRw="/>
    </ext>
  </extLst>
</workbook>
</file>

<file path=xl/calcChain.xml><?xml version="1.0" encoding="utf-8"?>
<calcChain xmlns="http://schemas.openxmlformats.org/spreadsheetml/2006/main">
  <c r="E152" i="1" l="1"/>
  <c r="E45" i="1"/>
  <c r="E151" i="1"/>
  <c r="E150" i="1"/>
  <c r="E147" i="1"/>
  <c r="E148" i="1"/>
  <c r="E149" i="1"/>
  <c r="E146" i="1"/>
  <c r="E35" i="1"/>
  <c r="E30" i="1"/>
  <c r="E14" i="1"/>
  <c r="E138" i="1"/>
  <c r="E47" i="1"/>
  <c r="E43" i="1"/>
  <c r="E11" i="1"/>
  <c r="E12" i="1"/>
  <c r="E91" i="1"/>
  <c r="E74" i="1"/>
  <c r="E128" i="1"/>
  <c r="E85" i="1"/>
  <c r="E26" i="1"/>
  <c r="E42" i="1"/>
  <c r="E92" i="1"/>
  <c r="E66" i="1"/>
  <c r="E63" i="1"/>
  <c r="E62" i="1"/>
  <c r="E111" i="1"/>
  <c r="E112" i="1"/>
  <c r="E58" i="1"/>
  <c r="E133" i="1"/>
  <c r="E116" i="1"/>
  <c r="E32" i="1"/>
  <c r="E108" i="1"/>
  <c r="E125" i="1"/>
  <c r="E39" i="1"/>
  <c r="E131" i="1"/>
  <c r="E24" i="1"/>
  <c r="E118" i="1"/>
  <c r="E113" i="1"/>
  <c r="E124" i="1"/>
  <c r="E127" i="1"/>
  <c r="E119" i="1"/>
  <c r="E100" i="1"/>
  <c r="E75" i="1"/>
  <c r="E88" i="1"/>
  <c r="E89" i="1"/>
  <c r="E28" i="1"/>
  <c r="E110" i="1"/>
  <c r="E79" i="1"/>
  <c r="E94" i="1"/>
  <c r="E51" i="1"/>
  <c r="E97" i="1"/>
  <c r="E98" i="1"/>
  <c r="E99" i="1"/>
  <c r="E49" i="1"/>
  <c r="E80" i="1"/>
  <c r="E41" i="1"/>
  <c r="E137" i="1"/>
  <c r="E44" i="1"/>
  <c r="E90" i="1"/>
  <c r="E93" i="1"/>
  <c r="E114" i="1"/>
  <c r="H7" i="2"/>
  <c r="F7" i="2"/>
  <c r="I7" i="2" s="1"/>
  <c r="L7" i="2" s="1"/>
  <c r="K6" i="2"/>
  <c r="H6" i="2"/>
  <c r="F6" i="2"/>
  <c r="I6" i="2" s="1"/>
  <c r="L6" i="2" s="1"/>
  <c r="H5" i="2"/>
  <c r="F5" i="2"/>
  <c r="K5" i="2" s="1"/>
  <c r="H4" i="2"/>
  <c r="F4" i="2"/>
  <c r="K4" i="2" s="1"/>
  <c r="H3" i="2"/>
  <c r="F3" i="2"/>
  <c r="K3" i="2" s="1"/>
  <c r="H2" i="2"/>
  <c r="F2" i="2"/>
  <c r="K2" i="2" s="1"/>
  <c r="E83" i="1"/>
  <c r="E25" i="1"/>
  <c r="E60" i="1"/>
  <c r="E71" i="1"/>
  <c r="E31" i="1"/>
  <c r="E34" i="1"/>
  <c r="E121" i="1"/>
  <c r="E126" i="1"/>
  <c r="E103" i="1"/>
  <c r="E129" i="1"/>
  <c r="E5" i="1"/>
  <c r="E33" i="1"/>
  <c r="E130" i="1"/>
  <c r="E142" i="1"/>
  <c r="E2" i="1"/>
  <c r="E96" i="1"/>
  <c r="E27" i="1"/>
  <c r="E140" i="1"/>
  <c r="E52" i="1"/>
  <c r="E136" i="1"/>
  <c r="E134" i="1"/>
  <c r="E145" i="1"/>
  <c r="E38" i="1"/>
  <c r="E40" i="1"/>
  <c r="E144" i="1"/>
  <c r="E143" i="1"/>
  <c r="E141" i="1"/>
  <c r="E139" i="1"/>
  <c r="E135" i="1"/>
  <c r="E132" i="1"/>
  <c r="E123" i="1"/>
  <c r="E122" i="1"/>
  <c r="E120" i="1"/>
  <c r="E117" i="1"/>
  <c r="E115" i="1"/>
  <c r="E109" i="1"/>
  <c r="E107" i="1"/>
  <c r="E106" i="1"/>
  <c r="E105" i="1"/>
  <c r="E104" i="1"/>
  <c r="E102" i="1"/>
  <c r="E101" i="1"/>
  <c r="E95" i="1"/>
  <c r="E87" i="1"/>
  <c r="E86" i="1"/>
  <c r="E84" i="1"/>
  <c r="E82" i="1"/>
  <c r="E81" i="1"/>
  <c r="E78" i="1"/>
  <c r="E77" i="1"/>
  <c r="E73" i="1"/>
  <c r="E72" i="1"/>
  <c r="E68" i="1"/>
  <c r="E69" i="1"/>
  <c r="E70" i="1"/>
  <c r="E67" i="1"/>
  <c r="E65" i="1"/>
  <c r="E64" i="1"/>
  <c r="E61" i="1"/>
  <c r="E59" i="1"/>
  <c r="E37" i="1"/>
  <c r="E57" i="1"/>
  <c r="E56" i="1"/>
  <c r="E55" i="1"/>
  <c r="E54" i="1"/>
  <c r="E53" i="1"/>
  <c r="E50" i="1"/>
  <c r="E48" i="1"/>
  <c r="E46" i="1"/>
  <c r="E36" i="1"/>
  <c r="E29" i="1"/>
  <c r="E22" i="1"/>
  <c r="E21" i="1"/>
  <c r="E19" i="1"/>
  <c r="E20" i="1"/>
  <c r="E18" i="1"/>
  <c r="E17" i="1"/>
  <c r="E16" i="1"/>
  <c r="E15" i="1"/>
  <c r="E13" i="1"/>
  <c r="E10" i="1"/>
  <c r="E9" i="1"/>
  <c r="E8" i="1"/>
  <c r="E7" i="1"/>
  <c r="E6" i="1"/>
  <c r="E4" i="1"/>
  <c r="E3" i="1"/>
  <c r="M6" i="2" l="1"/>
  <c r="I2" i="2"/>
  <c r="L2" i="2" s="1"/>
  <c r="I4" i="2"/>
  <c r="L4" i="2" s="1"/>
  <c r="K7" i="2"/>
  <c r="M7" i="2" s="1"/>
  <c r="I3" i="2"/>
  <c r="L3" i="2" s="1"/>
  <c r="I5" i="2"/>
  <c r="L5" i="2" s="1"/>
  <c r="M2" i="2" l="1"/>
  <c r="M5" i="2"/>
  <c r="M3" i="2"/>
  <c r="M4" i="2"/>
</calcChain>
</file>

<file path=xl/sharedStrings.xml><?xml version="1.0" encoding="utf-8"?>
<sst xmlns="http://schemas.openxmlformats.org/spreadsheetml/2006/main" count="484" uniqueCount="344">
  <si>
    <t>S. NO</t>
  </si>
  <si>
    <t>Ingredient Name</t>
  </si>
  <si>
    <t>Quantity (gm/units)</t>
  </si>
  <si>
    <t>Price per Unit</t>
  </si>
  <si>
    <t>Vendor Name</t>
  </si>
  <si>
    <t>Vendor Contact</t>
  </si>
  <si>
    <t>Tamrakar Traders</t>
  </si>
  <si>
    <t>9823633803/9840416543</t>
  </si>
  <si>
    <t>Baking Powder</t>
  </si>
  <si>
    <t>Baking Soda</t>
  </si>
  <si>
    <t>Butter (Salted ‚ Amul)</t>
  </si>
  <si>
    <t>Kalika Dairy</t>
  </si>
  <si>
    <t>Cheddar Cheese</t>
  </si>
  <si>
    <t>Choco Chips</t>
  </si>
  <si>
    <t>Corn Flour</t>
  </si>
  <si>
    <t>Curd</t>
  </si>
  <si>
    <t>Custard Powder</t>
  </si>
  <si>
    <t>Digestive Biscuit</t>
  </si>
  <si>
    <t>Eggs</t>
  </si>
  <si>
    <t>Fresh Cream (Madhani)</t>
  </si>
  <si>
    <t>Madhani Dairy</t>
  </si>
  <si>
    <t>Aadhunik Dairy</t>
  </si>
  <si>
    <t>Ghee Nova</t>
  </si>
  <si>
    <t>Icing Sugar</t>
  </si>
  <si>
    <t>Improver</t>
  </si>
  <si>
    <t>Liquid Glucose</t>
  </si>
  <si>
    <t>Mascarpone Cheese</t>
  </si>
  <si>
    <t>Milk</t>
  </si>
  <si>
    <t>Mozorella Cheese</t>
  </si>
  <si>
    <t>Raisin</t>
  </si>
  <si>
    <t>Salt</t>
  </si>
  <si>
    <t>Sunflower Refined Oil</t>
  </si>
  <si>
    <t>Tooti Frooti</t>
  </si>
  <si>
    <t>Walnut</t>
  </si>
  <si>
    <t>Yeast</t>
  </si>
  <si>
    <t>Supergrow ****</t>
  </si>
  <si>
    <t xml:space="preserve">Taste craft B.B Filling </t>
  </si>
  <si>
    <t>Vinegar</t>
  </si>
  <si>
    <t>Cardomom powder</t>
  </si>
  <si>
    <t>Millet flour</t>
  </si>
  <si>
    <t>Aata</t>
  </si>
  <si>
    <t>Water</t>
  </si>
  <si>
    <t>Sugar</t>
  </si>
  <si>
    <t>Date Purchased</t>
  </si>
  <si>
    <t>Item Name</t>
  </si>
  <si>
    <t>Procurement Unit</t>
  </si>
  <si>
    <t>Conversion Factor (g/ml)</t>
  </si>
  <si>
    <t>Total Stock Purchased (Units)</t>
  </si>
  <si>
    <t>Total In Stock</t>
  </si>
  <si>
    <t>Total Cost</t>
  </si>
  <si>
    <t>Cost per Procurement Unit (NRs)</t>
  </si>
  <si>
    <t>Price per Gram/ml (NRs)</t>
  </si>
  <si>
    <t>Total Stock Used (g/ml)</t>
  </si>
  <si>
    <t>Adjusted Stock Quantity (g/ml)</t>
  </si>
  <si>
    <t>Stock Used Value (NRs)</t>
  </si>
  <si>
    <t>Stock Remaining Value (NRs)</t>
  </si>
  <si>
    <t>Min Order Quantity</t>
  </si>
  <si>
    <t>Date Taken Out</t>
  </si>
  <si>
    <t>Remarks</t>
  </si>
  <si>
    <t>Crate</t>
  </si>
  <si>
    <t>Jayan</t>
  </si>
  <si>
    <t>kg</t>
  </si>
  <si>
    <t>Amul Fresh Cream</t>
  </si>
  <si>
    <t>Gyan Flour</t>
  </si>
  <si>
    <t>400gm</t>
  </si>
  <si>
    <t>Vanilla Flavour</t>
  </si>
  <si>
    <t>Bottle</t>
  </si>
  <si>
    <t>Cleaning</t>
  </si>
  <si>
    <t>Staffing</t>
  </si>
  <si>
    <t>Equipments</t>
  </si>
  <si>
    <t xml:space="preserve">Kitchen ko </t>
  </si>
  <si>
    <t>Nname tag</t>
  </si>
  <si>
    <t>Packaging</t>
  </si>
  <si>
    <t>Display name holder</t>
  </si>
  <si>
    <t>Menu Printing</t>
  </si>
  <si>
    <t>Invitation</t>
  </si>
  <si>
    <t>Kitchen Assets List</t>
  </si>
  <si>
    <t>Item</t>
  </si>
  <si>
    <t>Quantity</t>
  </si>
  <si>
    <t>Amount</t>
  </si>
  <si>
    <t>Year of Purchase</t>
  </si>
  <si>
    <t>Bill No.</t>
  </si>
  <si>
    <t>Source</t>
  </si>
  <si>
    <t>Food Mixer 20 liter (3 heads)</t>
  </si>
  <si>
    <t>Food Mixer 5 liter (3 heads)</t>
  </si>
  <si>
    <t>Planetary Mixer 20 liter</t>
  </si>
  <si>
    <t>Dough Sheeter</t>
  </si>
  <si>
    <t>Proofer</t>
  </si>
  <si>
    <t>Freezer</t>
  </si>
  <si>
    <t>Shelf</t>
  </si>
  <si>
    <t>Granite Table</t>
  </si>
  <si>
    <t>Double Deck Oven</t>
  </si>
  <si>
    <t>Gas Stove</t>
  </si>
  <si>
    <t>Gas Regulator</t>
  </si>
  <si>
    <t>Cylinder</t>
  </si>
  <si>
    <t>Cylinder Base</t>
  </si>
  <si>
    <t>Baking Tray (Coated)</t>
  </si>
  <si>
    <t>Baking Tray (GI Sheet)</t>
  </si>
  <si>
    <t>Cake Mould</t>
  </si>
  <si>
    <t>Trolly for Tray</t>
  </si>
  <si>
    <t>Sauce Pan</t>
  </si>
  <si>
    <t>Frying Pan</t>
  </si>
  <si>
    <t>Nozzle set</t>
  </si>
  <si>
    <t>Pallette Knife (Big)</t>
  </si>
  <si>
    <t>Pallette Knife (Small)</t>
  </si>
  <si>
    <t>Lemon Squueze</t>
  </si>
  <si>
    <t>Plastic Container with blue Lid</t>
  </si>
  <si>
    <t>Pizza Stone</t>
  </si>
  <si>
    <t>Spatula (Steel)</t>
  </si>
  <si>
    <t>Spatula (Rubber)</t>
  </si>
  <si>
    <t>Bread Knife</t>
  </si>
  <si>
    <t>Carving Knife</t>
  </si>
  <si>
    <t>Knife Big</t>
  </si>
  <si>
    <t>Chopping Board</t>
  </si>
  <si>
    <t>Ice Cream Scoop</t>
  </si>
  <si>
    <t>Scrapper Steel</t>
  </si>
  <si>
    <t>Rubber Brush (Red)</t>
  </si>
  <si>
    <t>Tea Strainer</t>
  </si>
  <si>
    <t>Food Container Size</t>
  </si>
  <si>
    <t>Masala Box</t>
  </si>
  <si>
    <t>Rolling Pin</t>
  </si>
  <si>
    <t>Weighing Machine</t>
  </si>
  <si>
    <t>Large Vessel (Tapes)</t>
  </si>
  <si>
    <t>Stainless Steel Bowls</t>
  </si>
  <si>
    <t>Bread Mould 1 kg</t>
  </si>
  <si>
    <t>Bread Mould 500 gm</t>
  </si>
  <si>
    <t>Exhaust Fan</t>
  </si>
  <si>
    <t>Exhaust Pipe</t>
  </si>
  <si>
    <t>Dust Bin</t>
  </si>
  <si>
    <t>Dust Pan</t>
  </si>
  <si>
    <t xml:space="preserve">First Aid Kit </t>
  </si>
  <si>
    <t>Cake Rotating Stand</t>
  </si>
  <si>
    <t>Blow Torch</t>
  </si>
  <si>
    <t>Gas for Blow Torch</t>
  </si>
  <si>
    <t>Tong</t>
  </si>
  <si>
    <t>Whisk</t>
  </si>
  <si>
    <t xml:space="preserve">Refiner </t>
  </si>
  <si>
    <t>Lid Metal; (Various Sizes)</t>
  </si>
  <si>
    <t xml:space="preserve">Cake Mould Set </t>
  </si>
  <si>
    <t xml:space="preserve">Pizza Cutter </t>
  </si>
  <si>
    <t>Measuring Container</t>
  </si>
  <si>
    <t>Cake Mould GI 1/2 pound</t>
  </si>
  <si>
    <t>Cake Mould GI 1 pound</t>
  </si>
  <si>
    <t>Cake Mould GI 2 pound</t>
  </si>
  <si>
    <t>Scrapper Plastic</t>
  </si>
  <si>
    <t xml:space="preserve">Tart Base </t>
  </si>
  <si>
    <t>Scissor</t>
  </si>
  <si>
    <t>Almond</t>
  </si>
  <si>
    <t>Aroma Strawberry</t>
  </si>
  <si>
    <t>Basil</t>
  </si>
  <si>
    <t>Berries Mix</t>
  </si>
  <si>
    <t>Besan</t>
  </si>
  <si>
    <t>Breakfast Sugar</t>
  </si>
  <si>
    <t>Brown Sugar</t>
  </si>
  <si>
    <t>Bubble tea powder (Mango)</t>
  </si>
  <si>
    <t>Bubble tea powder(Matcha)</t>
  </si>
  <si>
    <t>Bubble tea powder (Taro)</t>
  </si>
  <si>
    <t>Butter Salted</t>
  </si>
  <si>
    <t>Butter Unsalted</t>
  </si>
  <si>
    <t>Coffee Powder</t>
  </si>
  <si>
    <t>Cream Cheese Adhunik</t>
  </si>
  <si>
    <t>Cream Cheese Madhani</t>
  </si>
  <si>
    <t>Flour</t>
  </si>
  <si>
    <t>Honey</t>
  </si>
  <si>
    <t>Oats</t>
  </si>
  <si>
    <t>Olives Black</t>
  </si>
  <si>
    <t>Oregano</t>
  </si>
  <si>
    <t>Rosemary</t>
  </si>
  <si>
    <t>Sesame seeds</t>
  </si>
  <si>
    <t>Strawberry Fresh</t>
  </si>
  <si>
    <t>Mushroom</t>
  </si>
  <si>
    <t>Spring Onion</t>
  </si>
  <si>
    <t>Chicken Thigh</t>
  </si>
  <si>
    <t>Chicken Breast</t>
  </si>
  <si>
    <t>Garlic</t>
  </si>
  <si>
    <t>Dill</t>
  </si>
  <si>
    <t>Capers</t>
  </si>
  <si>
    <t>Jalapeno</t>
  </si>
  <si>
    <t>Price</t>
  </si>
  <si>
    <t>Vienna Gourmet</t>
  </si>
  <si>
    <t>Black Pepper</t>
  </si>
  <si>
    <t>Chilli Flakes</t>
  </si>
  <si>
    <t xml:space="preserve">Vienna Gourmet </t>
  </si>
  <si>
    <t>Sangrila Agro Mart (Ekantakuna)</t>
  </si>
  <si>
    <t>Lagankhel Bazaar</t>
  </si>
  <si>
    <t>Flax Seed</t>
  </si>
  <si>
    <t>Pumpkin Seeds</t>
  </si>
  <si>
    <t>Chia Seeds</t>
  </si>
  <si>
    <t>Priya Store</t>
  </si>
  <si>
    <t>Carrot</t>
  </si>
  <si>
    <t>Margarine</t>
  </si>
  <si>
    <t>Onion</t>
  </si>
  <si>
    <t>Mascarpone cheese</t>
  </si>
  <si>
    <t>Coconut Powder (Desicated)</t>
  </si>
  <si>
    <t>PS Group</t>
  </si>
  <si>
    <t>Olives Green</t>
  </si>
  <si>
    <t>Red Velvet Cake Mix</t>
  </si>
  <si>
    <t>Sweet Corn</t>
  </si>
  <si>
    <t>Sugar Sachet</t>
  </si>
  <si>
    <t>Cooking Cream (Riches)</t>
  </si>
  <si>
    <t>Dried Blueberry</t>
  </si>
  <si>
    <t xml:space="preserve">Kanchan Cheese </t>
  </si>
  <si>
    <t>Multi Grain Premix</t>
  </si>
  <si>
    <t>Nauni Ghee</t>
  </si>
  <si>
    <t>Whipped Cream</t>
  </si>
  <si>
    <t>Monin Flavor Caramel</t>
  </si>
  <si>
    <t>Monin Flavour Hazelnut</t>
  </si>
  <si>
    <t>Monin Flavour Vanilla</t>
  </si>
  <si>
    <t xml:space="preserve">Coffee Nyano </t>
  </si>
  <si>
    <t>Iced Tea Flavour</t>
  </si>
  <si>
    <t>Chocolate Syrup</t>
  </si>
  <si>
    <t>Tea Tokala</t>
  </si>
  <si>
    <t>Cocoa Powder (Kent)</t>
  </si>
  <si>
    <t>Bacon Slices</t>
  </si>
  <si>
    <t>Extra Virgin Olive Oil Kent</t>
  </si>
  <si>
    <t>Chocolate Compound Dark</t>
  </si>
  <si>
    <t>Chocolate Callets White</t>
  </si>
  <si>
    <t xml:space="preserve">Chocolate Compound White </t>
  </si>
  <si>
    <t>High Fibre Brown Bread Mix</t>
  </si>
  <si>
    <t>Matcha Powder</t>
  </si>
  <si>
    <t>Suiro Teas</t>
  </si>
  <si>
    <t>Ice Cubes</t>
  </si>
  <si>
    <t>Oreo Biscuits</t>
  </si>
  <si>
    <t xml:space="preserve">Cinnamon Powder </t>
  </si>
  <si>
    <t>Wholesale Lagankhel</t>
  </si>
  <si>
    <t>Lotus Biscoff Biscuit</t>
  </si>
  <si>
    <t>Lotus Biscoff Spread</t>
  </si>
  <si>
    <t>Goodrich  Natural Glaze</t>
  </si>
  <si>
    <t>01-4528010</t>
  </si>
  <si>
    <t>Rhododendron Tea</t>
  </si>
  <si>
    <t>Pearl Green Tea</t>
  </si>
  <si>
    <t>Silver White Tea</t>
  </si>
  <si>
    <t>Steria Tea</t>
  </si>
  <si>
    <t>Rose Tea</t>
  </si>
  <si>
    <t>Moringa Tea</t>
  </si>
  <si>
    <t>Bhibhum Enterprises</t>
  </si>
  <si>
    <t>9851147399/014987799</t>
  </si>
  <si>
    <t>9851147399/014987800</t>
  </si>
  <si>
    <t>9851147399/014987801</t>
  </si>
  <si>
    <t>9851147399/014987802</t>
  </si>
  <si>
    <t>9851147399/014987803</t>
  </si>
  <si>
    <t>9851147399/014987804</t>
  </si>
  <si>
    <t>9851147399/014987805</t>
  </si>
  <si>
    <t>Camomile Tea</t>
  </si>
  <si>
    <t>Bagels</t>
  </si>
  <si>
    <t>Plain Bagels</t>
  </si>
  <si>
    <t>Sesame Bagels</t>
  </si>
  <si>
    <t xml:space="preserve">Cinnamon and Raisins </t>
  </si>
  <si>
    <t>Cream Cheese</t>
  </si>
  <si>
    <t>Classic</t>
  </si>
  <si>
    <t>Chocochips</t>
  </si>
  <si>
    <t>Hot Honey</t>
  </si>
  <si>
    <t>Garlic &amp; Jalapeno</t>
  </si>
  <si>
    <t>Grilled Chicken</t>
  </si>
  <si>
    <t>Bacon &amp; spring Onion</t>
  </si>
  <si>
    <t>Salmon, Dill Capers</t>
  </si>
  <si>
    <t>Bread</t>
  </si>
  <si>
    <t>White Bread</t>
  </si>
  <si>
    <t>Brown Bread</t>
  </si>
  <si>
    <t>Multi Grain Bread</t>
  </si>
  <si>
    <t>Brioche</t>
  </si>
  <si>
    <t>Sourdough</t>
  </si>
  <si>
    <t>Ciabatta</t>
  </si>
  <si>
    <t>Baguette</t>
  </si>
  <si>
    <t>Focaccia</t>
  </si>
  <si>
    <t>Bagel Sandwich</t>
  </si>
  <si>
    <t>Classic Bagels with 2 slices of cheese, Eggs, 2 Slice of Ham and tomatoes, lettuce</t>
  </si>
  <si>
    <t xml:space="preserve"> </t>
  </si>
  <si>
    <t>Everything Bagels with garlic, onion, sesame seeds, pumpkin seeds</t>
  </si>
  <si>
    <t>Calic Bagels with Garlic, mozorella cheese pepperoni, dill</t>
  </si>
  <si>
    <t xml:space="preserve">Bagel Sandwich with </t>
  </si>
  <si>
    <t>Pastries</t>
  </si>
  <si>
    <t>Tiramisu Classic</t>
  </si>
  <si>
    <t>Walnut Fudge</t>
  </si>
  <si>
    <t>Profito Rolls</t>
  </si>
  <si>
    <t>Dry Cakes</t>
  </si>
  <si>
    <t>Chocolate Marble</t>
  </si>
  <si>
    <t>Carrot Cake</t>
  </si>
  <si>
    <t>Banana Cake</t>
  </si>
  <si>
    <t>Fruit Cake</t>
  </si>
  <si>
    <t>Doughsant</t>
  </si>
  <si>
    <t>Cheesecake (Biscoff, Strawberry)</t>
  </si>
  <si>
    <t xml:space="preserve">Spinach </t>
  </si>
  <si>
    <t>Chicken Masala</t>
  </si>
  <si>
    <t>Red Cherry</t>
  </si>
  <si>
    <t>Sunflower Seeds</t>
  </si>
  <si>
    <t>Dates(Undried)</t>
  </si>
  <si>
    <t>Peanuts Raw</t>
  </si>
  <si>
    <t>Peanut Butter</t>
  </si>
  <si>
    <t>Edible Pearls 1 mm</t>
  </si>
  <si>
    <t>Edible Pearls 10 mm</t>
  </si>
  <si>
    <t>Safal Dairy</t>
  </si>
  <si>
    <t>Pacific Frozen Foods Pvt.Ltd</t>
  </si>
  <si>
    <t>Condensed Milk (Blue Cow)</t>
  </si>
  <si>
    <t>Fresh Cream (Adhunik)</t>
  </si>
  <si>
    <t>Gold Dust</t>
  </si>
  <si>
    <t>Bakers Creation</t>
  </si>
  <si>
    <t>880 from frozen gallery for what grams?</t>
  </si>
  <si>
    <t>Salmon Slices</t>
  </si>
  <si>
    <t>1510 from frozen gallery for 200 gm</t>
  </si>
  <si>
    <t>Strawberry Crush Mala</t>
  </si>
  <si>
    <t>Kiwi Crush Mala</t>
  </si>
  <si>
    <t>Caramel Topping Tastys</t>
  </si>
  <si>
    <t>Chocolate Topping Tasty</t>
  </si>
  <si>
    <t>Masala Powder Star mix</t>
  </si>
  <si>
    <t>Hibiscus Tea</t>
  </si>
  <si>
    <t>Butterfly Pea Tea</t>
  </si>
  <si>
    <t>Mayenk</t>
  </si>
  <si>
    <t>Van Houten</t>
  </si>
  <si>
    <t>Cocoa Powder (van Houten)</t>
  </si>
  <si>
    <t>Cocoa Powder (Maxipan)</t>
  </si>
  <si>
    <t>***</t>
  </si>
  <si>
    <t>Raj</t>
  </si>
  <si>
    <t>Fresh Cream (Prestine)</t>
  </si>
  <si>
    <t>Swissbake</t>
  </si>
  <si>
    <t>swissbake</t>
  </si>
  <si>
    <t>Maxipan</t>
  </si>
  <si>
    <t>Cargil</t>
  </si>
  <si>
    <t>Margarine for Cake</t>
  </si>
  <si>
    <t>1000gm = Rs 500 from bakers</t>
  </si>
  <si>
    <t>1000 gm = 558 swissbake</t>
  </si>
  <si>
    <t>Maxipremium</t>
  </si>
  <si>
    <t>Biscoff Biscuit Micks</t>
  </si>
  <si>
    <t>Biscoff Spread Micks</t>
  </si>
  <si>
    <t>Black Cumin Seeds</t>
  </si>
  <si>
    <t>Blueberry Fruit Fillings</t>
  </si>
  <si>
    <t>Cinnamon Powder</t>
  </si>
  <si>
    <t>Chicken Minced</t>
  </si>
  <si>
    <t>Whip Topping Cream</t>
  </si>
  <si>
    <t>Chicken Suasage 1 kg</t>
  </si>
  <si>
    <t>Whipping Cream (Whip Gold)</t>
  </si>
  <si>
    <t>Morde</t>
  </si>
  <si>
    <t>Chocolate Dark 46.5</t>
  </si>
  <si>
    <t>indemix</t>
  </si>
  <si>
    <t>TABASCO® BRAND Original Red Sauce</t>
  </si>
  <si>
    <t>Foodfest -  Soya Sauce</t>
  </si>
  <si>
    <t>2345?</t>
  </si>
  <si>
    <t>Drinking Chocolate (Morde)</t>
  </si>
  <si>
    <t>127 from Bakers Creation</t>
  </si>
  <si>
    <t>Maxichoco</t>
  </si>
  <si>
    <t>Into Speciality</t>
  </si>
  <si>
    <t>124 from bakers creation</t>
  </si>
  <si>
    <t>Gluten (Maxipan)</t>
  </si>
  <si>
    <t>Gelatin (Maxipan)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</si>
</sst>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scheme val="minor"/>
    </font>
    <font>
      <sz val="12"/>
      <color theme="1"/>
      <name val="Aptos Narrow"/>
      <scheme val="minor"/>
    </font>
    <font>
      <sz val="18"/>
      <color theme="1"/>
      <name val="Aptos Narrow"/>
    </font>
    <font>
      <sz val="12"/>
      <color theme="1"/>
      <name val="Helvetica"/>
      <family val="2"/>
    </font>
    <font>
      <sz val="11"/>
      <color rgb="FF000000"/>
      <name val="Helvetica"/>
      <family val="2"/>
    </font>
    <font>
      <sz val="12"/>
      <color rgb="FF000000"/>
      <name val="Helvetica"/>
      <family val="2"/>
    </font>
    <font>
      <b/>
      <sz val="12"/>
      <color theme="1"/>
      <name val="Helvetica"/>
      <family val="2"/>
    </font>
    <font>
      <sz val="12"/>
      <color theme="1"/>
      <name val="Arial"/>
      <family val="2"/>
    </font>
    <font>
      <sz val="8"/>
      <name val="Aptos Narrow"/>
      <scheme val="minor"/>
    </font>
    <font>
      <sz val="12"/>
      <color theme="1"/>
      <name val="Helvetica Neue"/>
      <family val="2"/>
    </font>
    <font>
      <sz val="11"/>
      <name val="Helvetic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6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3" fillId="0" borderId="0" xfId="0" applyFont="1"/>
    <xf numFmtId="0" fontId="3" fillId="0" borderId="1" xfId="0" applyFont="1" applyBorder="1"/>
    <xf numFmtId="0" fontId="5" fillId="0" borderId="0" xfId="0" applyFont="1"/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/>
    </xf>
    <xf numFmtId="0" fontId="3" fillId="0" borderId="2" xfId="0" applyFont="1" applyBorder="1" applyAlignment="1">
      <alignment horizontal="center"/>
    </xf>
    <xf numFmtId="0" fontId="3" fillId="0" borderId="2" xfId="0" applyFont="1" applyBorder="1"/>
    <xf numFmtId="0" fontId="6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10" fillId="0" borderId="1" xfId="0" applyFont="1" applyBorder="1" applyAlignment="1">
      <alignment horizontal="left" vertical="top" wrapText="1"/>
    </xf>
    <xf numFmtId="0" fontId="2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91"/>
  <sheetViews>
    <sheetView tabSelected="1" topLeftCell="A98" zoomScale="125" workbookViewId="0">
      <selection activeCell="C108" sqref="C108"/>
    </sheetView>
  </sheetViews>
  <sheetFormatPr baseColWidth="10" defaultColWidth="11.1640625" defaultRowHeight="15" customHeight="1" x14ac:dyDescent="0.2"/>
  <cols>
    <col min="1" max="1" width="10.5" style="14" customWidth="1"/>
    <col min="2" max="2" width="38.1640625" style="11" customWidth="1"/>
    <col min="3" max="3" width="19.5" style="18" customWidth="1"/>
    <col min="4" max="4" width="12.83203125" style="18" customWidth="1"/>
    <col min="5" max="5" width="14.83203125" style="18" customWidth="1"/>
    <col min="6" max="6" width="31" style="18" customWidth="1"/>
    <col min="7" max="7" width="25.5" style="14" customWidth="1"/>
    <col min="8" max="8" width="26" style="14" customWidth="1"/>
    <col min="9" max="9" width="11.6640625" style="14" customWidth="1"/>
    <col min="10" max="25" width="10.5" style="14" customWidth="1"/>
    <col min="26" max="16384" width="11.1640625" style="14"/>
  </cols>
  <sheetData>
    <row r="1" spans="1:9" s="13" customFormat="1" ht="15.75" customHeight="1" x14ac:dyDescent="0.2">
      <c r="A1" s="2" t="s">
        <v>0</v>
      </c>
      <c r="B1" s="25" t="s">
        <v>1</v>
      </c>
      <c r="C1" s="2" t="s">
        <v>2</v>
      </c>
      <c r="D1" s="2" t="s">
        <v>178</v>
      </c>
      <c r="E1" s="2" t="s">
        <v>3</v>
      </c>
      <c r="F1" s="2" t="s">
        <v>4</v>
      </c>
      <c r="G1" s="2" t="s">
        <v>5</v>
      </c>
      <c r="H1" s="10"/>
      <c r="I1" s="10"/>
    </row>
    <row r="2" spans="1:9" ht="15.75" customHeight="1" x14ac:dyDescent="0.2">
      <c r="A2" s="3">
        <v>1</v>
      </c>
      <c r="B2" s="5" t="s">
        <v>40</v>
      </c>
      <c r="C2" s="3">
        <v>1000</v>
      </c>
      <c r="D2" s="3">
        <v>100</v>
      </c>
      <c r="E2" s="3">
        <f t="shared" ref="E2:E22" si="0">(D2/C2)</f>
        <v>0.1</v>
      </c>
      <c r="F2" s="3"/>
      <c r="G2" s="3"/>
      <c r="H2" s="9"/>
      <c r="I2" s="9"/>
    </row>
    <row r="3" spans="1:9" ht="15.75" customHeight="1" x14ac:dyDescent="0.2">
      <c r="A3" s="3">
        <v>2</v>
      </c>
      <c r="B3" s="5" t="s">
        <v>147</v>
      </c>
      <c r="C3" s="3">
        <v>1000</v>
      </c>
      <c r="D3" s="3">
        <v>1500</v>
      </c>
      <c r="E3" s="3">
        <f t="shared" si="0"/>
        <v>1.5</v>
      </c>
      <c r="F3" s="3" t="s">
        <v>188</v>
      </c>
      <c r="G3" s="3">
        <v>9851149071</v>
      </c>
      <c r="H3" s="9"/>
      <c r="I3" s="9"/>
    </row>
    <row r="4" spans="1:9" ht="15.75" customHeight="1" x14ac:dyDescent="0.2">
      <c r="A4" s="3">
        <v>3</v>
      </c>
      <c r="B4" s="5" t="s">
        <v>148</v>
      </c>
      <c r="C4" s="3">
        <v>500</v>
      </c>
      <c r="D4" s="3">
        <v>355</v>
      </c>
      <c r="E4" s="3">
        <f t="shared" si="0"/>
        <v>0.71</v>
      </c>
      <c r="F4" s="3" t="s">
        <v>296</v>
      </c>
      <c r="G4" s="3" t="s">
        <v>7</v>
      </c>
      <c r="H4" s="9"/>
      <c r="I4" s="9"/>
    </row>
    <row r="5" spans="1:9" ht="15.75" customHeight="1" x14ac:dyDescent="0.2">
      <c r="A5" s="3">
        <v>4</v>
      </c>
      <c r="B5" s="5" t="s">
        <v>213</v>
      </c>
      <c r="C5" s="3">
        <v>1000</v>
      </c>
      <c r="D5" s="3">
        <v>1500</v>
      </c>
      <c r="E5" s="3">
        <f t="shared" si="0"/>
        <v>1.5</v>
      </c>
      <c r="F5" s="3" t="s">
        <v>292</v>
      </c>
      <c r="G5" s="3"/>
      <c r="H5" s="9"/>
      <c r="I5" s="9"/>
    </row>
    <row r="6" spans="1:9" ht="15.75" customHeight="1" x14ac:dyDescent="0.2">
      <c r="A6" s="3">
        <v>5</v>
      </c>
      <c r="B6" s="5" t="s">
        <v>8</v>
      </c>
      <c r="C6" s="3">
        <v>1000</v>
      </c>
      <c r="D6" s="3">
        <v>155</v>
      </c>
      <c r="E6" s="3">
        <f t="shared" si="0"/>
        <v>0.155</v>
      </c>
      <c r="F6" s="3" t="s">
        <v>6</v>
      </c>
      <c r="G6" s="3" t="s">
        <v>7</v>
      </c>
      <c r="H6" s="9" t="s">
        <v>338</v>
      </c>
      <c r="I6" s="9"/>
    </row>
    <row r="7" spans="1:9" ht="15.75" customHeight="1" x14ac:dyDescent="0.2">
      <c r="A7" s="3">
        <v>6</v>
      </c>
      <c r="B7" s="5" t="s">
        <v>9</v>
      </c>
      <c r="C7" s="3">
        <v>100</v>
      </c>
      <c r="D7" s="3">
        <v>45</v>
      </c>
      <c r="E7" s="3">
        <f t="shared" si="0"/>
        <v>0.45</v>
      </c>
      <c r="F7" s="3" t="s">
        <v>296</v>
      </c>
      <c r="G7" s="3"/>
      <c r="H7" s="9"/>
      <c r="I7" s="9"/>
    </row>
    <row r="8" spans="1:9" ht="15.75" customHeight="1" x14ac:dyDescent="0.2">
      <c r="A8" s="3">
        <v>7</v>
      </c>
      <c r="B8" s="5" t="s">
        <v>149</v>
      </c>
      <c r="C8" s="3">
        <v>250</v>
      </c>
      <c r="D8" s="3">
        <v>140</v>
      </c>
      <c r="E8" s="3">
        <f t="shared" si="0"/>
        <v>0.56000000000000005</v>
      </c>
      <c r="F8" s="3" t="s">
        <v>182</v>
      </c>
      <c r="G8" s="3">
        <v>9704584484</v>
      </c>
      <c r="H8" s="9"/>
      <c r="I8" s="9"/>
    </row>
    <row r="9" spans="1:9" ht="15.75" customHeight="1" x14ac:dyDescent="0.2">
      <c r="A9" s="3">
        <v>8</v>
      </c>
      <c r="B9" s="5" t="s">
        <v>150</v>
      </c>
      <c r="C9" s="3">
        <v>200</v>
      </c>
      <c r="D9" s="3">
        <v>920</v>
      </c>
      <c r="E9" s="3">
        <f t="shared" si="0"/>
        <v>4.5999999999999996</v>
      </c>
      <c r="F9" s="3"/>
      <c r="G9" s="3"/>
      <c r="H9" s="9"/>
      <c r="I9" s="9"/>
    </row>
    <row r="10" spans="1:9" ht="15.75" customHeight="1" x14ac:dyDescent="0.2">
      <c r="A10" s="3">
        <v>9</v>
      </c>
      <c r="B10" s="5" t="s">
        <v>151</v>
      </c>
      <c r="C10" s="3">
        <v>500</v>
      </c>
      <c r="D10" s="3">
        <v>115.04</v>
      </c>
      <c r="E10" s="3">
        <f t="shared" si="0"/>
        <v>0.23008000000000001</v>
      </c>
      <c r="F10" s="3" t="s">
        <v>6</v>
      </c>
      <c r="G10" s="3" t="s">
        <v>7</v>
      </c>
      <c r="H10" s="9"/>
      <c r="I10" s="9"/>
    </row>
    <row r="11" spans="1:9" ht="15.75" customHeight="1" x14ac:dyDescent="0.2">
      <c r="A11" s="3">
        <v>10</v>
      </c>
      <c r="B11" s="8" t="s">
        <v>322</v>
      </c>
      <c r="C11" s="17">
        <v>250</v>
      </c>
      <c r="D11" s="17">
        <v>569</v>
      </c>
      <c r="E11" s="17">
        <f t="shared" si="0"/>
        <v>2.2759999999999998</v>
      </c>
      <c r="F11" s="3" t="s">
        <v>296</v>
      </c>
      <c r="G11" s="15"/>
    </row>
    <row r="12" spans="1:9" ht="15.75" customHeight="1" x14ac:dyDescent="0.2">
      <c r="A12" s="3">
        <v>11</v>
      </c>
      <c r="B12" s="8" t="s">
        <v>323</v>
      </c>
      <c r="C12" s="17">
        <v>1000</v>
      </c>
      <c r="D12" s="17">
        <v>2700</v>
      </c>
      <c r="E12" s="3">
        <f t="shared" si="0"/>
        <v>2.7</v>
      </c>
      <c r="F12" s="3" t="s">
        <v>296</v>
      </c>
      <c r="G12" s="15"/>
    </row>
    <row r="13" spans="1:9" ht="15.75" customHeight="1" x14ac:dyDescent="0.2">
      <c r="A13" s="3">
        <v>12</v>
      </c>
      <c r="B13" s="5" t="s">
        <v>324</v>
      </c>
      <c r="C13" s="3">
        <v>1000</v>
      </c>
      <c r="D13" s="3">
        <v>600</v>
      </c>
      <c r="E13" s="3">
        <f t="shared" si="0"/>
        <v>0.6</v>
      </c>
      <c r="F13" s="3" t="s">
        <v>188</v>
      </c>
      <c r="G13" s="3"/>
      <c r="H13" s="9"/>
      <c r="I13" s="9"/>
    </row>
    <row r="14" spans="1:9" ht="15.75" customHeight="1" x14ac:dyDescent="0.2">
      <c r="A14" s="3">
        <v>13</v>
      </c>
      <c r="B14" s="5" t="s">
        <v>180</v>
      </c>
      <c r="C14" s="3">
        <v>1000</v>
      </c>
      <c r="D14" s="3">
        <v>1800</v>
      </c>
      <c r="E14" s="3">
        <f t="shared" si="0"/>
        <v>1.8</v>
      </c>
      <c r="F14" s="3" t="s">
        <v>188</v>
      </c>
      <c r="G14" s="3"/>
      <c r="H14" s="9"/>
      <c r="I14" s="9"/>
    </row>
    <row r="15" spans="1:9" ht="15.75" customHeight="1" x14ac:dyDescent="0.2">
      <c r="A15" s="3">
        <v>14</v>
      </c>
      <c r="B15" s="5" t="s">
        <v>325</v>
      </c>
      <c r="C15" s="3">
        <v>2500</v>
      </c>
      <c r="D15" s="3">
        <v>3535</v>
      </c>
      <c r="E15" s="3">
        <f t="shared" si="0"/>
        <v>1.4139999999999999</v>
      </c>
      <c r="F15" s="3"/>
      <c r="G15" s="3"/>
      <c r="H15" s="9"/>
      <c r="I15" s="9"/>
    </row>
    <row r="16" spans="1:9" ht="15.75" customHeight="1" x14ac:dyDescent="0.2">
      <c r="A16" s="3">
        <v>15</v>
      </c>
      <c r="B16" s="5" t="s">
        <v>152</v>
      </c>
      <c r="C16" s="3">
        <v>1000</v>
      </c>
      <c r="D16" s="3">
        <v>155</v>
      </c>
      <c r="E16" s="3">
        <f t="shared" si="0"/>
        <v>0.155</v>
      </c>
      <c r="F16" s="3" t="s">
        <v>6</v>
      </c>
      <c r="G16" s="3" t="s">
        <v>7</v>
      </c>
      <c r="H16" s="9"/>
      <c r="I16" s="9"/>
    </row>
    <row r="17" spans="1:9" ht="15.75" customHeight="1" x14ac:dyDescent="0.2">
      <c r="A17" s="3">
        <v>16</v>
      </c>
      <c r="B17" s="5" t="s">
        <v>153</v>
      </c>
      <c r="C17" s="3">
        <v>1000</v>
      </c>
      <c r="D17" s="3">
        <v>110</v>
      </c>
      <c r="E17" s="3">
        <f t="shared" si="0"/>
        <v>0.11</v>
      </c>
      <c r="F17" s="3" t="s">
        <v>296</v>
      </c>
      <c r="G17" s="3"/>
      <c r="H17" s="9"/>
      <c r="I17" s="9"/>
    </row>
    <row r="18" spans="1:9" ht="15.75" customHeight="1" x14ac:dyDescent="0.2">
      <c r="A18" s="3">
        <v>17</v>
      </c>
      <c r="B18" s="5" t="s">
        <v>154</v>
      </c>
      <c r="C18" s="3">
        <v>1000</v>
      </c>
      <c r="D18" s="3">
        <v>1000</v>
      </c>
      <c r="E18" s="3">
        <f t="shared" si="0"/>
        <v>1</v>
      </c>
      <c r="F18" s="3"/>
      <c r="G18" s="3"/>
      <c r="H18" s="9"/>
      <c r="I18" s="9"/>
    </row>
    <row r="19" spans="1:9" ht="15.75" customHeight="1" x14ac:dyDescent="0.2">
      <c r="A19" s="3">
        <v>18</v>
      </c>
      <c r="B19" s="5" t="s">
        <v>156</v>
      </c>
      <c r="C19" s="3">
        <v>1000</v>
      </c>
      <c r="D19" s="3">
        <v>1000</v>
      </c>
      <c r="E19" s="3">
        <f t="shared" si="0"/>
        <v>1</v>
      </c>
      <c r="F19" s="3"/>
      <c r="G19" s="3"/>
      <c r="H19" s="9"/>
      <c r="I19" s="9"/>
    </row>
    <row r="20" spans="1:9" ht="15.75" customHeight="1" x14ac:dyDescent="0.2">
      <c r="A20" s="3">
        <v>19</v>
      </c>
      <c r="B20" s="5" t="s">
        <v>155</v>
      </c>
      <c r="C20" s="3">
        <v>1000</v>
      </c>
      <c r="D20" s="3">
        <v>1000</v>
      </c>
      <c r="E20" s="3">
        <f t="shared" si="0"/>
        <v>1</v>
      </c>
      <c r="F20" s="3"/>
      <c r="G20" s="3"/>
      <c r="H20" s="9"/>
      <c r="I20" s="9"/>
    </row>
    <row r="21" spans="1:9" ht="15.75" customHeight="1" x14ac:dyDescent="0.2">
      <c r="A21" s="3">
        <v>20</v>
      </c>
      <c r="B21" s="5" t="s">
        <v>157</v>
      </c>
      <c r="C21" s="3">
        <v>1000</v>
      </c>
      <c r="D21" s="3">
        <v>1150</v>
      </c>
      <c r="E21" s="3">
        <f t="shared" si="0"/>
        <v>1.1499999999999999</v>
      </c>
      <c r="F21" s="3" t="s">
        <v>6</v>
      </c>
      <c r="G21" s="3" t="s">
        <v>7</v>
      </c>
      <c r="H21" s="9"/>
      <c r="I21" s="9"/>
    </row>
    <row r="22" spans="1:9" ht="15.75" customHeight="1" x14ac:dyDescent="0.2">
      <c r="A22" s="3">
        <v>21</v>
      </c>
      <c r="B22" s="5" t="s">
        <v>158</v>
      </c>
      <c r="C22" s="3">
        <v>1000</v>
      </c>
      <c r="D22" s="3">
        <v>800</v>
      </c>
      <c r="E22" s="3">
        <f t="shared" si="0"/>
        <v>0.8</v>
      </c>
      <c r="F22" s="3" t="s">
        <v>11</v>
      </c>
      <c r="G22" s="3">
        <v>9841432022</v>
      </c>
      <c r="H22" s="9"/>
      <c r="I22" s="9"/>
    </row>
    <row r="23" spans="1:9" ht="15.75" customHeight="1" x14ac:dyDescent="0.2">
      <c r="A23" s="3">
        <v>22</v>
      </c>
      <c r="B23" s="26" t="s">
        <v>306</v>
      </c>
      <c r="C23" s="17">
        <v>500</v>
      </c>
      <c r="D23" s="17">
        <v>3220</v>
      </c>
      <c r="E23" s="20">
        <v>6.44</v>
      </c>
      <c r="F23" s="17" t="s">
        <v>235</v>
      </c>
      <c r="G23" s="15" t="s">
        <v>236</v>
      </c>
    </row>
    <row r="24" spans="1:9" ht="15.75" customHeight="1" x14ac:dyDescent="0.2">
      <c r="A24" s="3">
        <v>23</v>
      </c>
      <c r="B24" s="27" t="s">
        <v>243</v>
      </c>
      <c r="C24" s="17">
        <v>500</v>
      </c>
      <c r="D24" s="17">
        <v>4000</v>
      </c>
      <c r="E24" s="17">
        <f t="shared" ref="E24:E55" si="1">(D24/C24)</f>
        <v>8</v>
      </c>
      <c r="F24" s="17" t="s">
        <v>235</v>
      </c>
      <c r="G24" s="15" t="s">
        <v>236</v>
      </c>
      <c r="H24" s="9"/>
      <c r="I24" s="9"/>
    </row>
    <row r="25" spans="1:9" ht="15.75" customHeight="1" x14ac:dyDescent="0.2">
      <c r="A25" s="3">
        <v>24</v>
      </c>
      <c r="B25" s="5" t="s">
        <v>176</v>
      </c>
      <c r="C25" s="3">
        <v>100</v>
      </c>
      <c r="D25" s="3">
        <v>280</v>
      </c>
      <c r="E25" s="3">
        <f t="shared" si="1"/>
        <v>2.8</v>
      </c>
      <c r="F25" s="3" t="s">
        <v>179</v>
      </c>
      <c r="G25" s="3">
        <v>9704584484</v>
      </c>
      <c r="H25" s="9"/>
      <c r="I25" s="9"/>
    </row>
    <row r="26" spans="1:9" ht="15.75" customHeight="1" x14ac:dyDescent="0.2">
      <c r="A26" s="3">
        <v>25</v>
      </c>
      <c r="B26" s="8" t="s">
        <v>302</v>
      </c>
      <c r="C26" s="17">
        <v>1300</v>
      </c>
      <c r="D26" s="17">
        <v>760</v>
      </c>
      <c r="E26" s="17">
        <f t="shared" si="1"/>
        <v>0.58461538461538465</v>
      </c>
      <c r="F26" s="3" t="s">
        <v>182</v>
      </c>
      <c r="G26" s="3">
        <v>9704584484</v>
      </c>
    </row>
    <row r="27" spans="1:9" ht="15.75" customHeight="1" x14ac:dyDescent="0.2">
      <c r="A27" s="3">
        <v>26</v>
      </c>
      <c r="B27" s="5" t="s">
        <v>38</v>
      </c>
      <c r="C27" s="3">
        <v>100</v>
      </c>
      <c r="D27" s="3">
        <v>175</v>
      </c>
      <c r="E27" s="3">
        <f t="shared" si="1"/>
        <v>1.75</v>
      </c>
      <c r="F27" s="3"/>
      <c r="G27" s="3"/>
      <c r="H27" s="9"/>
      <c r="I27" s="9"/>
    </row>
    <row r="28" spans="1:9" ht="15.75" customHeight="1" x14ac:dyDescent="0.2">
      <c r="A28" s="3">
        <v>27</v>
      </c>
      <c r="B28" s="5" t="s">
        <v>189</v>
      </c>
      <c r="C28" s="3">
        <v>1000</v>
      </c>
      <c r="D28" s="3">
        <v>70</v>
      </c>
      <c r="E28" s="3">
        <f t="shared" si="1"/>
        <v>7.0000000000000007E-2</v>
      </c>
      <c r="F28" s="3" t="s">
        <v>183</v>
      </c>
      <c r="G28" s="3"/>
      <c r="H28" s="9"/>
      <c r="I28" s="9"/>
    </row>
    <row r="29" spans="1:9" ht="15.75" customHeight="1" x14ac:dyDescent="0.2">
      <c r="A29" s="3">
        <v>28</v>
      </c>
      <c r="B29" s="5" t="s">
        <v>12</v>
      </c>
      <c r="C29" s="3">
        <v>1000</v>
      </c>
      <c r="D29" s="3">
        <v>1800</v>
      </c>
      <c r="E29" s="3">
        <f t="shared" si="1"/>
        <v>1.8</v>
      </c>
      <c r="F29" s="3" t="s">
        <v>21</v>
      </c>
      <c r="G29" s="3">
        <v>98510744478</v>
      </c>
      <c r="H29" s="9"/>
      <c r="I29" s="9"/>
    </row>
    <row r="30" spans="1:9" ht="15.75" customHeight="1" x14ac:dyDescent="0.2">
      <c r="A30" s="3">
        <v>30</v>
      </c>
      <c r="B30" s="5" t="s">
        <v>187</v>
      </c>
      <c r="C30" s="3"/>
      <c r="D30" s="3"/>
      <c r="E30" s="3" t="e">
        <f t="shared" si="1"/>
        <v>#DIV/0!</v>
      </c>
      <c r="F30" s="3" t="s">
        <v>183</v>
      </c>
      <c r="G30" s="3"/>
      <c r="H30" s="9"/>
      <c r="I30" s="9"/>
    </row>
    <row r="31" spans="1:9" ht="15.75" customHeight="1" x14ac:dyDescent="0.2">
      <c r="A31" s="3">
        <v>31</v>
      </c>
      <c r="B31" s="5" t="s">
        <v>173</v>
      </c>
      <c r="C31" s="3">
        <v>1000</v>
      </c>
      <c r="D31" s="3">
        <v>610</v>
      </c>
      <c r="E31" s="3">
        <f t="shared" si="1"/>
        <v>0.61</v>
      </c>
      <c r="F31" s="3" t="s">
        <v>292</v>
      </c>
      <c r="G31" s="3"/>
      <c r="H31" s="9"/>
      <c r="I31" s="9"/>
    </row>
    <row r="32" spans="1:9" ht="15.75" customHeight="1" x14ac:dyDescent="0.2">
      <c r="A32" s="3">
        <v>32</v>
      </c>
      <c r="B32" s="8" t="s">
        <v>283</v>
      </c>
      <c r="C32" s="17">
        <v>250</v>
      </c>
      <c r="D32" s="17">
        <v>100</v>
      </c>
      <c r="E32" s="17">
        <f t="shared" si="1"/>
        <v>0.4</v>
      </c>
      <c r="F32" s="17"/>
      <c r="G32" s="15"/>
      <c r="H32" s="9"/>
      <c r="I32" s="9"/>
    </row>
    <row r="33" spans="1:9" ht="15.75" customHeight="1" x14ac:dyDescent="0.2">
      <c r="A33" s="3">
        <v>33</v>
      </c>
      <c r="B33" s="5" t="s">
        <v>329</v>
      </c>
      <c r="C33" s="3">
        <v>24</v>
      </c>
      <c r="D33" s="3">
        <v>650</v>
      </c>
      <c r="E33" s="3">
        <f t="shared" si="1"/>
        <v>27.083333333333332</v>
      </c>
      <c r="F33" s="3" t="s">
        <v>292</v>
      </c>
      <c r="G33" s="3"/>
      <c r="H33" s="9"/>
      <c r="I33" s="9"/>
    </row>
    <row r="34" spans="1:9" ht="15.75" customHeight="1" x14ac:dyDescent="0.2">
      <c r="A34" s="3">
        <v>34</v>
      </c>
      <c r="B34" s="5" t="s">
        <v>172</v>
      </c>
      <c r="C34" s="3">
        <v>1000</v>
      </c>
      <c r="D34" s="3">
        <v>540</v>
      </c>
      <c r="E34" s="3">
        <f t="shared" si="1"/>
        <v>0.54</v>
      </c>
      <c r="F34" s="3" t="s">
        <v>292</v>
      </c>
      <c r="G34" s="4">
        <v>9843229172</v>
      </c>
      <c r="H34" s="9"/>
      <c r="I34" s="9"/>
    </row>
    <row r="35" spans="1:9" ht="15.75" customHeight="1" x14ac:dyDescent="0.2">
      <c r="A35" s="3">
        <v>35</v>
      </c>
      <c r="B35" s="5" t="s">
        <v>181</v>
      </c>
      <c r="C35" s="3"/>
      <c r="D35" s="3"/>
      <c r="E35" s="3" t="e">
        <f t="shared" si="1"/>
        <v>#DIV/0!</v>
      </c>
      <c r="F35" s="3"/>
      <c r="G35" s="4"/>
      <c r="H35" s="9"/>
      <c r="I35" s="9"/>
    </row>
    <row r="36" spans="1:9" ht="15.75" customHeight="1" x14ac:dyDescent="0.2">
      <c r="A36" s="3">
        <v>36</v>
      </c>
      <c r="B36" s="5" t="s">
        <v>13</v>
      </c>
      <c r="C36" s="3">
        <v>1000</v>
      </c>
      <c r="D36" s="3">
        <v>585</v>
      </c>
      <c r="E36" s="3">
        <f t="shared" si="1"/>
        <v>0.58499999999999996</v>
      </c>
      <c r="F36" s="4" t="s">
        <v>296</v>
      </c>
      <c r="G36" s="3"/>
      <c r="H36" s="9" t="s">
        <v>316</v>
      </c>
      <c r="I36" s="9"/>
    </row>
    <row r="37" spans="1:9" ht="15.75" customHeight="1" x14ac:dyDescent="0.2">
      <c r="A37" s="3">
        <v>37</v>
      </c>
      <c r="B37" s="5" t="s">
        <v>332</v>
      </c>
      <c r="C37" s="3">
        <v>1000</v>
      </c>
      <c r="D37" s="3">
        <v>3240</v>
      </c>
      <c r="E37" s="3">
        <f t="shared" si="1"/>
        <v>3.24</v>
      </c>
      <c r="F37" s="4" t="s">
        <v>296</v>
      </c>
      <c r="G37" s="3"/>
      <c r="H37" s="9" t="s">
        <v>308</v>
      </c>
      <c r="I37" s="9"/>
    </row>
    <row r="38" spans="1:9" s="18" customFormat="1" ht="15.75" customHeight="1" x14ac:dyDescent="0.2">
      <c r="A38" s="3">
        <v>38</v>
      </c>
      <c r="B38" s="5" t="s">
        <v>216</v>
      </c>
      <c r="C38" s="3">
        <v>1000</v>
      </c>
      <c r="D38" s="3">
        <v>725</v>
      </c>
      <c r="E38" s="3">
        <f t="shared" si="1"/>
        <v>0.72499999999999998</v>
      </c>
      <c r="F38" s="4" t="s">
        <v>296</v>
      </c>
      <c r="G38" s="3"/>
      <c r="H38" s="9" t="s">
        <v>316</v>
      </c>
      <c r="I38" s="9"/>
    </row>
    <row r="39" spans="1:9" ht="15.75" customHeight="1" x14ac:dyDescent="0.2">
      <c r="A39" s="3">
        <v>39</v>
      </c>
      <c r="B39" s="5" t="s">
        <v>215</v>
      </c>
      <c r="C39" s="3">
        <v>1000</v>
      </c>
      <c r="D39" s="3">
        <v>840</v>
      </c>
      <c r="E39" s="3">
        <f t="shared" si="1"/>
        <v>0.84</v>
      </c>
      <c r="F39" s="3" t="s">
        <v>6</v>
      </c>
      <c r="G39" s="3"/>
      <c r="H39" s="9" t="s">
        <v>331</v>
      </c>
      <c r="I39" s="9"/>
    </row>
    <row r="40" spans="1:9" ht="15.75" customHeight="1" x14ac:dyDescent="0.2">
      <c r="A40" s="3">
        <v>40</v>
      </c>
      <c r="B40" s="5" t="s">
        <v>217</v>
      </c>
      <c r="C40" s="3">
        <v>1000</v>
      </c>
      <c r="D40" s="3">
        <v>875</v>
      </c>
      <c r="E40" s="3">
        <f t="shared" si="1"/>
        <v>0.875</v>
      </c>
      <c r="F40" s="3" t="s">
        <v>6</v>
      </c>
      <c r="G40" s="3"/>
      <c r="H40" s="9" t="s">
        <v>331</v>
      </c>
      <c r="I40" s="9"/>
    </row>
    <row r="41" spans="1:9" ht="15.75" customHeight="1" x14ac:dyDescent="0.2">
      <c r="A41" s="3">
        <v>41</v>
      </c>
      <c r="B41" s="8" t="s">
        <v>210</v>
      </c>
      <c r="C41" s="17">
        <v>1200</v>
      </c>
      <c r="D41" s="17">
        <v>615</v>
      </c>
      <c r="E41" s="3">
        <f t="shared" si="1"/>
        <v>0.51249999999999996</v>
      </c>
      <c r="F41" s="4" t="s">
        <v>296</v>
      </c>
      <c r="G41" s="15"/>
      <c r="H41" s="9" t="s">
        <v>339</v>
      </c>
      <c r="I41" s="9"/>
    </row>
    <row r="42" spans="1:9" ht="15.75" customHeight="1" x14ac:dyDescent="0.2">
      <c r="A42" s="3">
        <v>42</v>
      </c>
      <c r="B42" s="8" t="s">
        <v>303</v>
      </c>
      <c r="C42" s="17">
        <v>1300</v>
      </c>
      <c r="D42" s="17">
        <v>690</v>
      </c>
      <c r="E42" s="17">
        <f t="shared" si="1"/>
        <v>0.53076923076923077</v>
      </c>
      <c r="F42" s="3" t="s">
        <v>182</v>
      </c>
      <c r="G42" s="15"/>
    </row>
    <row r="43" spans="1:9" ht="15.75" customHeight="1" x14ac:dyDescent="0.2">
      <c r="A43" s="3">
        <v>43</v>
      </c>
      <c r="B43" s="8" t="s">
        <v>223</v>
      </c>
      <c r="C43" s="17">
        <v>500</v>
      </c>
      <c r="D43" s="17">
        <v>300</v>
      </c>
      <c r="E43" s="17">
        <f t="shared" si="1"/>
        <v>0.6</v>
      </c>
      <c r="F43" s="3" t="s">
        <v>188</v>
      </c>
      <c r="G43" s="3">
        <v>9851149071</v>
      </c>
      <c r="H43" s="9"/>
      <c r="I43" s="9"/>
    </row>
    <row r="44" spans="1:9" ht="15.75" customHeight="1" x14ac:dyDescent="0.2">
      <c r="A44" s="3">
        <v>44</v>
      </c>
      <c r="B44" s="8" t="s">
        <v>212</v>
      </c>
      <c r="C44" s="17">
        <v>1000</v>
      </c>
      <c r="D44" s="17">
        <v>2200</v>
      </c>
      <c r="E44" s="3">
        <f t="shared" si="1"/>
        <v>2.2000000000000002</v>
      </c>
      <c r="F44" s="17"/>
      <c r="G44" s="15"/>
      <c r="H44" s="9"/>
      <c r="I44" s="9"/>
    </row>
    <row r="45" spans="1:9" ht="15.75" customHeight="1" x14ac:dyDescent="0.2">
      <c r="A45" s="3">
        <v>45</v>
      </c>
      <c r="B45" s="8" t="s">
        <v>310</v>
      </c>
      <c r="C45" s="17">
        <v>1000</v>
      </c>
      <c r="D45" s="17">
        <v>2150</v>
      </c>
      <c r="E45" s="17">
        <f t="shared" si="1"/>
        <v>2.15</v>
      </c>
      <c r="F45" s="4" t="s">
        <v>296</v>
      </c>
      <c r="G45" s="17"/>
      <c r="H45" s="18"/>
      <c r="I45" s="18"/>
    </row>
    <row r="46" spans="1:9" ht="15.75" customHeight="1" x14ac:dyDescent="0.2">
      <c r="A46" s="3">
        <v>46</v>
      </c>
      <c r="B46" s="5" t="s">
        <v>337</v>
      </c>
      <c r="C46" s="3">
        <v>2000</v>
      </c>
      <c r="D46" s="3">
        <v>2470</v>
      </c>
      <c r="E46" s="3">
        <f t="shared" si="1"/>
        <v>1.2350000000000001</v>
      </c>
      <c r="F46" s="3" t="s">
        <v>6</v>
      </c>
      <c r="G46" s="3" t="s">
        <v>7</v>
      </c>
      <c r="H46" s="9" t="s">
        <v>336</v>
      </c>
      <c r="I46" s="9"/>
    </row>
    <row r="47" spans="1:9" ht="15.75" customHeight="1" x14ac:dyDescent="0.2">
      <c r="A47" s="3">
        <v>47</v>
      </c>
      <c r="B47" s="8" t="s">
        <v>309</v>
      </c>
      <c r="C47" s="17">
        <v>1000</v>
      </c>
      <c r="D47" s="17">
        <v>2250</v>
      </c>
      <c r="E47" s="17">
        <f t="shared" si="1"/>
        <v>2.25</v>
      </c>
      <c r="F47" s="4" t="s">
        <v>296</v>
      </c>
      <c r="G47" s="15"/>
    </row>
    <row r="48" spans="1:9" ht="15.75" customHeight="1" x14ac:dyDescent="0.2">
      <c r="A48" s="3">
        <v>48</v>
      </c>
      <c r="B48" s="5" t="s">
        <v>193</v>
      </c>
      <c r="C48" s="3">
        <v>1000</v>
      </c>
      <c r="D48" s="3">
        <v>840</v>
      </c>
      <c r="E48" s="3">
        <f t="shared" si="1"/>
        <v>0.84</v>
      </c>
      <c r="F48" s="3" t="s">
        <v>6</v>
      </c>
      <c r="G48" s="3" t="s">
        <v>7</v>
      </c>
      <c r="H48" s="9" t="s">
        <v>311</v>
      </c>
      <c r="I48" s="9"/>
    </row>
    <row r="49" spans="1:9" ht="15.75" customHeight="1" x14ac:dyDescent="0.2">
      <c r="A49" s="3">
        <v>49</v>
      </c>
      <c r="B49" s="8" t="s">
        <v>208</v>
      </c>
      <c r="C49" s="17">
        <v>1000</v>
      </c>
      <c r="D49" s="17">
        <v>2800</v>
      </c>
      <c r="E49" s="3">
        <f t="shared" si="1"/>
        <v>2.8</v>
      </c>
      <c r="F49" s="17" t="s">
        <v>340</v>
      </c>
      <c r="G49" s="15">
        <v>9801053947</v>
      </c>
      <c r="H49" s="9"/>
      <c r="I49" s="9"/>
    </row>
    <row r="50" spans="1:9" ht="15.75" customHeight="1" x14ac:dyDescent="0.2">
      <c r="A50" s="3">
        <v>50</v>
      </c>
      <c r="B50" s="5" t="s">
        <v>159</v>
      </c>
      <c r="C50" s="3">
        <v>400</v>
      </c>
      <c r="D50" s="3">
        <v>1950</v>
      </c>
      <c r="E50" s="3">
        <f t="shared" si="1"/>
        <v>4.875</v>
      </c>
      <c r="F50" s="3" t="s">
        <v>6</v>
      </c>
      <c r="G50" s="3" t="s">
        <v>7</v>
      </c>
      <c r="H50" s="9"/>
      <c r="I50" s="9"/>
    </row>
    <row r="51" spans="1:9" ht="15.75" customHeight="1" x14ac:dyDescent="0.2">
      <c r="A51" s="3">
        <v>51</v>
      </c>
      <c r="B51" s="5" t="s">
        <v>293</v>
      </c>
      <c r="C51" s="3">
        <v>390</v>
      </c>
      <c r="D51" s="3">
        <v>180</v>
      </c>
      <c r="E51" s="3">
        <f t="shared" si="1"/>
        <v>0.46153846153846156</v>
      </c>
      <c r="F51" s="3" t="s">
        <v>179</v>
      </c>
      <c r="G51" s="3">
        <v>9704584484</v>
      </c>
      <c r="H51" s="9"/>
      <c r="I51" s="9"/>
    </row>
    <row r="52" spans="1:9" ht="15.75" customHeight="1" x14ac:dyDescent="0.2">
      <c r="A52" s="3">
        <v>52</v>
      </c>
      <c r="B52" s="5" t="s">
        <v>199</v>
      </c>
      <c r="C52" s="3">
        <v>1000</v>
      </c>
      <c r="D52" s="3">
        <v>490</v>
      </c>
      <c r="E52" s="3">
        <f t="shared" si="1"/>
        <v>0.49</v>
      </c>
      <c r="F52" s="3" t="s">
        <v>292</v>
      </c>
      <c r="G52" s="3"/>
      <c r="H52" s="9"/>
      <c r="I52" s="9"/>
    </row>
    <row r="53" spans="1:9" ht="15.75" customHeight="1" x14ac:dyDescent="0.2">
      <c r="A53" s="3">
        <v>53</v>
      </c>
      <c r="B53" s="5" t="s">
        <v>14</v>
      </c>
      <c r="C53" s="3">
        <v>1000</v>
      </c>
      <c r="D53" s="3">
        <v>103</v>
      </c>
      <c r="E53" s="3">
        <f t="shared" si="1"/>
        <v>0.10299999999999999</v>
      </c>
      <c r="F53" s="3" t="s">
        <v>296</v>
      </c>
      <c r="G53" s="3"/>
      <c r="H53" s="9" t="s">
        <v>312</v>
      </c>
      <c r="I53" s="9"/>
    </row>
    <row r="54" spans="1:9" ht="15.75" customHeight="1" x14ac:dyDescent="0.2">
      <c r="A54" s="3">
        <v>54</v>
      </c>
      <c r="B54" s="5" t="s">
        <v>160</v>
      </c>
      <c r="C54" s="3">
        <v>1000</v>
      </c>
      <c r="D54" s="3">
        <v>1400</v>
      </c>
      <c r="E54" s="3">
        <f t="shared" si="1"/>
        <v>1.4</v>
      </c>
      <c r="F54" s="3" t="s">
        <v>21</v>
      </c>
      <c r="G54" s="3">
        <v>98510744478</v>
      </c>
      <c r="H54" s="9"/>
      <c r="I54" s="9"/>
    </row>
    <row r="55" spans="1:9" ht="15.75" customHeight="1" x14ac:dyDescent="0.2">
      <c r="A55" s="3">
        <v>55</v>
      </c>
      <c r="B55" s="5" t="s">
        <v>161</v>
      </c>
      <c r="C55" s="3">
        <v>500</v>
      </c>
      <c r="D55" s="3">
        <v>1750</v>
      </c>
      <c r="E55" s="3">
        <f t="shared" si="1"/>
        <v>3.5</v>
      </c>
      <c r="F55" s="3" t="s">
        <v>20</v>
      </c>
      <c r="G55" s="3"/>
      <c r="H55" s="9"/>
      <c r="I55" s="9"/>
    </row>
    <row r="56" spans="1:9" ht="15.75" customHeight="1" x14ac:dyDescent="0.2">
      <c r="A56" s="3">
        <v>56</v>
      </c>
      <c r="B56" s="5" t="s">
        <v>15</v>
      </c>
      <c r="C56" s="3">
        <v>500</v>
      </c>
      <c r="D56" s="3">
        <v>95</v>
      </c>
      <c r="E56" s="3">
        <f t="shared" ref="E56:E87" si="2">(D56/C56)</f>
        <v>0.19</v>
      </c>
      <c r="F56" s="3" t="s">
        <v>21</v>
      </c>
      <c r="G56" s="3" t="s">
        <v>7</v>
      </c>
      <c r="H56" s="9"/>
      <c r="I56" s="9"/>
    </row>
    <row r="57" spans="1:9" ht="15.75" customHeight="1" x14ac:dyDescent="0.2">
      <c r="A57" s="3">
        <v>57</v>
      </c>
      <c r="B57" s="5" t="s">
        <v>16</v>
      </c>
      <c r="C57" s="3">
        <v>1000</v>
      </c>
      <c r="D57" s="3">
        <v>119.46899999999999</v>
      </c>
      <c r="E57" s="3">
        <f t="shared" si="2"/>
        <v>0.11946899999999999</v>
      </c>
      <c r="F57" s="3" t="s">
        <v>6</v>
      </c>
      <c r="G57" s="3" t="s">
        <v>7</v>
      </c>
      <c r="H57" s="9" t="s">
        <v>341</v>
      </c>
      <c r="I57" s="9"/>
    </row>
    <row r="58" spans="1:9" ht="15.75" customHeight="1" x14ac:dyDescent="0.2">
      <c r="A58" s="3">
        <v>58</v>
      </c>
      <c r="B58" s="8" t="s">
        <v>286</v>
      </c>
      <c r="C58" s="17">
        <v>1000</v>
      </c>
      <c r="D58" s="17">
        <v>400</v>
      </c>
      <c r="E58" s="17">
        <f t="shared" si="2"/>
        <v>0.4</v>
      </c>
      <c r="F58" s="3" t="s">
        <v>188</v>
      </c>
      <c r="G58" s="3">
        <v>9851149071</v>
      </c>
      <c r="H58" s="9"/>
      <c r="I58" s="9"/>
    </row>
    <row r="59" spans="1:9" ht="15.75" customHeight="1" x14ac:dyDescent="0.2">
      <c r="A59" s="3">
        <v>59</v>
      </c>
      <c r="B59" s="5" t="s">
        <v>17</v>
      </c>
      <c r="C59" s="3">
        <v>500</v>
      </c>
      <c r="D59" s="3">
        <v>235</v>
      </c>
      <c r="E59" s="3">
        <f t="shared" si="2"/>
        <v>0.47</v>
      </c>
      <c r="F59" s="3"/>
      <c r="G59" s="3"/>
      <c r="H59" s="9"/>
      <c r="I59" s="9"/>
    </row>
    <row r="60" spans="1:9" ht="15.75" customHeight="1" x14ac:dyDescent="0.2">
      <c r="A60" s="3">
        <v>60</v>
      </c>
      <c r="B60" s="5" t="s">
        <v>175</v>
      </c>
      <c r="C60" s="3">
        <v>200</v>
      </c>
      <c r="D60" s="3">
        <v>30</v>
      </c>
      <c r="E60" s="3">
        <f t="shared" si="2"/>
        <v>0.15</v>
      </c>
      <c r="F60" s="3" t="s">
        <v>183</v>
      </c>
      <c r="G60" s="3"/>
      <c r="H60" s="9"/>
      <c r="I60" s="9"/>
    </row>
    <row r="61" spans="1:9" ht="15.75" customHeight="1" x14ac:dyDescent="0.2">
      <c r="A61" s="3">
        <v>61</v>
      </c>
      <c r="B61" s="5" t="s">
        <v>200</v>
      </c>
      <c r="C61" s="3">
        <v>150</v>
      </c>
      <c r="D61" s="3">
        <v>525</v>
      </c>
      <c r="E61" s="3">
        <f t="shared" si="2"/>
        <v>3.5</v>
      </c>
      <c r="F61" s="3"/>
      <c r="G61" s="3"/>
      <c r="H61" s="9"/>
      <c r="I61" s="9"/>
    </row>
    <row r="62" spans="1:9" ht="15.75" customHeight="1" x14ac:dyDescent="0.2">
      <c r="A62" s="3">
        <v>62</v>
      </c>
      <c r="B62" s="8" t="s">
        <v>289</v>
      </c>
      <c r="C62" s="17">
        <v>500</v>
      </c>
      <c r="D62" s="17">
        <v>875</v>
      </c>
      <c r="E62" s="17">
        <f t="shared" si="2"/>
        <v>1.75</v>
      </c>
      <c r="F62" s="3" t="s">
        <v>6</v>
      </c>
      <c r="G62" s="3" t="s">
        <v>7</v>
      </c>
    </row>
    <row r="63" spans="1:9" ht="15.75" customHeight="1" x14ac:dyDescent="0.2">
      <c r="A63" s="3">
        <v>64</v>
      </c>
      <c r="B63" s="8" t="s">
        <v>290</v>
      </c>
      <c r="C63" s="17">
        <v>500</v>
      </c>
      <c r="D63" s="17">
        <v>900</v>
      </c>
      <c r="E63" s="17">
        <f t="shared" si="2"/>
        <v>1.8</v>
      </c>
      <c r="F63" s="3" t="s">
        <v>6</v>
      </c>
      <c r="G63" s="3" t="s">
        <v>7</v>
      </c>
    </row>
    <row r="64" spans="1:9" ht="15.75" customHeight="1" x14ac:dyDescent="0.2">
      <c r="A64" s="3">
        <v>66</v>
      </c>
      <c r="B64" s="5" t="s">
        <v>18</v>
      </c>
      <c r="C64" s="3">
        <v>210</v>
      </c>
      <c r="D64" s="3">
        <v>3000</v>
      </c>
      <c r="E64" s="3">
        <f t="shared" si="2"/>
        <v>14.285714285714286</v>
      </c>
      <c r="F64" s="3" t="s">
        <v>292</v>
      </c>
      <c r="G64" s="3"/>
      <c r="H64" s="9"/>
      <c r="I64" s="9"/>
    </row>
    <row r="65" spans="1:25" ht="15.75" customHeight="1" x14ac:dyDescent="0.2">
      <c r="A65" s="3">
        <v>67</v>
      </c>
      <c r="B65" s="5" t="s">
        <v>214</v>
      </c>
      <c r="C65" s="3">
        <v>1000</v>
      </c>
      <c r="D65" s="3">
        <v>2100</v>
      </c>
      <c r="E65" s="3">
        <f t="shared" si="2"/>
        <v>2.1</v>
      </c>
      <c r="F65" s="3" t="s">
        <v>194</v>
      </c>
      <c r="G65" s="3" t="s">
        <v>228</v>
      </c>
      <c r="H65" s="9"/>
      <c r="I65" s="9"/>
    </row>
    <row r="66" spans="1:25" ht="15.75" customHeight="1" x14ac:dyDescent="0.2">
      <c r="A66" s="3">
        <v>68</v>
      </c>
      <c r="B66" s="5" t="s">
        <v>185</v>
      </c>
      <c r="C66" s="3">
        <v>1000</v>
      </c>
      <c r="D66" s="3">
        <v>280</v>
      </c>
      <c r="E66" s="3">
        <f t="shared" si="2"/>
        <v>0.28000000000000003</v>
      </c>
      <c r="F66" s="3" t="s">
        <v>188</v>
      </c>
      <c r="G66" s="3">
        <v>9851149071</v>
      </c>
      <c r="H66" s="9"/>
      <c r="I66" s="9"/>
    </row>
    <row r="67" spans="1:25" ht="15.75" customHeight="1" x14ac:dyDescent="0.2">
      <c r="A67" s="3">
        <v>69</v>
      </c>
      <c r="B67" s="5" t="s">
        <v>162</v>
      </c>
      <c r="C67" s="3">
        <v>50000</v>
      </c>
      <c r="D67" s="3">
        <v>3400</v>
      </c>
      <c r="E67" s="3">
        <f t="shared" si="2"/>
        <v>6.8000000000000005E-2</v>
      </c>
      <c r="F67" s="3"/>
      <c r="G67" s="3"/>
      <c r="H67" s="9"/>
      <c r="I67" s="9"/>
    </row>
    <row r="68" spans="1:25" ht="15.75" customHeight="1" x14ac:dyDescent="0.2">
      <c r="A68" s="3">
        <v>70</v>
      </c>
      <c r="B68" s="5" t="s">
        <v>294</v>
      </c>
      <c r="C68" s="3">
        <v>1000</v>
      </c>
      <c r="D68" s="3">
        <v>530</v>
      </c>
      <c r="E68" s="3">
        <f t="shared" si="2"/>
        <v>0.53</v>
      </c>
      <c r="F68" s="3" t="s">
        <v>21</v>
      </c>
      <c r="G68" s="3">
        <v>98510744478</v>
      </c>
      <c r="H68" s="9"/>
      <c r="I68" s="9"/>
    </row>
    <row r="69" spans="1:25" ht="15.75" customHeight="1" x14ac:dyDescent="0.2">
      <c r="A69" s="3">
        <v>71</v>
      </c>
      <c r="B69" s="5" t="s">
        <v>19</v>
      </c>
      <c r="C69" s="3">
        <v>1000</v>
      </c>
      <c r="D69" s="3">
        <v>600</v>
      </c>
      <c r="E69" s="3">
        <f t="shared" si="2"/>
        <v>0.6</v>
      </c>
      <c r="F69" s="3" t="s">
        <v>20</v>
      </c>
      <c r="G69" s="3">
        <v>9841658526</v>
      </c>
      <c r="H69" s="9"/>
      <c r="I69" s="9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</row>
    <row r="70" spans="1:25" ht="15.75" customHeight="1" x14ac:dyDescent="0.2">
      <c r="A70" s="3">
        <v>72</v>
      </c>
      <c r="B70" s="5" t="s">
        <v>313</v>
      </c>
      <c r="C70" s="3">
        <v>1000</v>
      </c>
      <c r="D70" s="3">
        <v>400</v>
      </c>
      <c r="E70" s="3">
        <f t="shared" si="2"/>
        <v>0.4</v>
      </c>
      <c r="F70" s="4" t="s">
        <v>296</v>
      </c>
      <c r="G70" s="3"/>
      <c r="H70" s="9"/>
      <c r="I70" s="9"/>
    </row>
    <row r="71" spans="1:25" ht="15.75" customHeight="1" x14ac:dyDescent="0.2">
      <c r="A71" s="3">
        <v>73</v>
      </c>
      <c r="B71" s="5" t="s">
        <v>174</v>
      </c>
      <c r="C71" s="3">
        <v>1000</v>
      </c>
      <c r="D71" s="3">
        <v>400</v>
      </c>
      <c r="E71" s="3">
        <f t="shared" si="2"/>
        <v>0.4</v>
      </c>
      <c r="F71" s="3" t="s">
        <v>183</v>
      </c>
      <c r="G71" s="3"/>
      <c r="H71" s="9"/>
      <c r="I71" s="9"/>
    </row>
    <row r="72" spans="1:25" ht="15.75" customHeight="1" x14ac:dyDescent="0.2">
      <c r="A72" s="3">
        <v>74</v>
      </c>
      <c r="B72" s="5" t="s">
        <v>22</v>
      </c>
      <c r="C72" s="3">
        <v>1000</v>
      </c>
      <c r="D72" s="3">
        <v>1110</v>
      </c>
      <c r="E72" s="3">
        <f t="shared" si="2"/>
        <v>1.1100000000000001</v>
      </c>
      <c r="F72" s="3" t="s">
        <v>6</v>
      </c>
      <c r="G72" s="3" t="s">
        <v>7</v>
      </c>
      <c r="H72" s="9"/>
      <c r="I72" s="9"/>
    </row>
    <row r="73" spans="1:25" ht="15.75" customHeight="1" x14ac:dyDescent="0.2">
      <c r="A73" s="3">
        <v>75</v>
      </c>
      <c r="B73" s="5" t="s">
        <v>342</v>
      </c>
      <c r="C73" s="3">
        <v>1000</v>
      </c>
      <c r="D73" s="3">
        <v>418</v>
      </c>
      <c r="E73" s="3">
        <f t="shared" si="2"/>
        <v>0.41799999999999998</v>
      </c>
      <c r="F73" s="3" t="s">
        <v>6</v>
      </c>
      <c r="G73" s="3" t="s">
        <v>7</v>
      </c>
      <c r="H73" s="9">
        <v>418</v>
      </c>
      <c r="I73" s="9"/>
    </row>
    <row r="74" spans="1:25" ht="15.75" customHeight="1" x14ac:dyDescent="0.2">
      <c r="A74" s="3">
        <v>76</v>
      </c>
      <c r="B74" s="8" t="s">
        <v>295</v>
      </c>
      <c r="C74" s="17">
        <v>100</v>
      </c>
      <c r="D74" s="17">
        <v>226</v>
      </c>
      <c r="E74" s="17">
        <f t="shared" si="2"/>
        <v>2.2599999999999998</v>
      </c>
      <c r="F74" s="17" t="s">
        <v>296</v>
      </c>
      <c r="G74" s="15"/>
    </row>
    <row r="75" spans="1:25" ht="15.75" customHeight="1" x14ac:dyDescent="0.2">
      <c r="A75" s="3">
        <v>77</v>
      </c>
      <c r="B75" s="8" t="s">
        <v>227</v>
      </c>
      <c r="C75" s="17">
        <v>2500</v>
      </c>
      <c r="D75" s="17">
        <v>370</v>
      </c>
      <c r="E75" s="17">
        <f t="shared" si="2"/>
        <v>0.14799999999999999</v>
      </c>
      <c r="F75" s="17" t="s">
        <v>6</v>
      </c>
      <c r="G75" s="15"/>
      <c r="H75" s="9" t="s">
        <v>314</v>
      </c>
      <c r="I75" s="9"/>
    </row>
    <row r="76" spans="1:25" ht="15.75" customHeight="1" x14ac:dyDescent="0.2">
      <c r="A76" s="3">
        <v>78</v>
      </c>
      <c r="B76" s="8" t="s">
        <v>305</v>
      </c>
      <c r="C76" s="17">
        <v>500</v>
      </c>
      <c r="D76" s="17">
        <v>1820</v>
      </c>
      <c r="E76" s="17">
        <v>3.64</v>
      </c>
      <c r="F76" s="17"/>
      <c r="G76" s="15"/>
    </row>
    <row r="77" spans="1:25" ht="15.75" customHeight="1" x14ac:dyDescent="0.2">
      <c r="A77" s="3">
        <v>79</v>
      </c>
      <c r="B77" s="5" t="s">
        <v>218</v>
      </c>
      <c r="C77" s="3">
        <v>1000</v>
      </c>
      <c r="D77" s="3">
        <v>295</v>
      </c>
      <c r="E77" s="3">
        <f t="shared" ref="E77:E108" si="3">(D77/C77)</f>
        <v>0.29499999999999998</v>
      </c>
      <c r="F77" s="17" t="s">
        <v>296</v>
      </c>
      <c r="G77" s="3"/>
      <c r="H77" s="9" t="s">
        <v>315</v>
      </c>
      <c r="I77" s="9"/>
    </row>
    <row r="78" spans="1:25" ht="15.75" customHeight="1" x14ac:dyDescent="0.2">
      <c r="A78" s="3">
        <v>80</v>
      </c>
      <c r="B78" s="5" t="s">
        <v>163</v>
      </c>
      <c r="C78" s="3">
        <v>1000</v>
      </c>
      <c r="D78" s="3">
        <v>735</v>
      </c>
      <c r="E78" s="3">
        <f t="shared" si="3"/>
        <v>0.73499999999999999</v>
      </c>
      <c r="F78" s="3" t="s">
        <v>182</v>
      </c>
      <c r="G78" s="3">
        <v>9704584484</v>
      </c>
      <c r="H78" s="9"/>
      <c r="I78" s="9"/>
    </row>
    <row r="79" spans="1:25" ht="15.75" customHeight="1" x14ac:dyDescent="0.2">
      <c r="A79" s="3">
        <v>81</v>
      </c>
      <c r="B79" s="8" t="s">
        <v>221</v>
      </c>
      <c r="C79" s="17">
        <v>1000</v>
      </c>
      <c r="D79" s="17">
        <v>50</v>
      </c>
      <c r="E79" s="17">
        <f t="shared" si="3"/>
        <v>0.05</v>
      </c>
      <c r="F79" s="17" t="s">
        <v>307</v>
      </c>
      <c r="G79">
        <v>9828965079</v>
      </c>
      <c r="H79" s="9"/>
      <c r="I79" s="9"/>
    </row>
    <row r="80" spans="1:25" ht="15.75" customHeight="1" x14ac:dyDescent="0.2">
      <c r="A80" s="3">
        <v>82</v>
      </c>
      <c r="B80" s="8" t="s">
        <v>209</v>
      </c>
      <c r="C80" s="17">
        <v>400</v>
      </c>
      <c r="D80" s="17">
        <v>625</v>
      </c>
      <c r="E80" s="3">
        <f t="shared" si="3"/>
        <v>1.5625</v>
      </c>
      <c r="F80" s="3" t="s">
        <v>179</v>
      </c>
      <c r="G80" s="3">
        <v>9704584484</v>
      </c>
      <c r="H80" s="9"/>
      <c r="I80" s="9"/>
    </row>
    <row r="81" spans="1:9" ht="15.75" customHeight="1" x14ac:dyDescent="0.2">
      <c r="A81" s="3">
        <v>83</v>
      </c>
      <c r="B81" s="5" t="s">
        <v>23</v>
      </c>
      <c r="C81" s="3">
        <v>1000</v>
      </c>
      <c r="D81" s="3">
        <v>133</v>
      </c>
      <c r="E81" s="3">
        <f t="shared" si="3"/>
        <v>0.13300000000000001</v>
      </c>
      <c r="F81" s="19" t="s">
        <v>296</v>
      </c>
      <c r="G81" s="3"/>
      <c r="H81" s="9" t="s">
        <v>312</v>
      </c>
      <c r="I81" s="9"/>
    </row>
    <row r="82" spans="1:9" ht="15.75" customHeight="1" x14ac:dyDescent="0.2">
      <c r="A82" s="3">
        <v>84</v>
      </c>
      <c r="B82" s="5" t="s">
        <v>24</v>
      </c>
      <c r="C82" s="3">
        <v>1000</v>
      </c>
      <c r="D82" s="3">
        <v>469.01</v>
      </c>
      <c r="E82" s="3">
        <f t="shared" si="3"/>
        <v>0.46900999999999998</v>
      </c>
      <c r="F82" s="3" t="s">
        <v>6</v>
      </c>
      <c r="G82" s="3" t="s">
        <v>7</v>
      </c>
      <c r="H82" s="9">
        <v>493</v>
      </c>
      <c r="I82" s="9"/>
    </row>
    <row r="83" spans="1:9" ht="15.75" customHeight="1" x14ac:dyDescent="0.2">
      <c r="A83" s="3">
        <v>85</v>
      </c>
      <c r="B83" s="5" t="s">
        <v>177</v>
      </c>
      <c r="C83" s="3">
        <v>360</v>
      </c>
      <c r="D83" s="3">
        <v>305</v>
      </c>
      <c r="E83" s="3">
        <f t="shared" si="3"/>
        <v>0.84722222222222221</v>
      </c>
      <c r="F83" s="3" t="s">
        <v>179</v>
      </c>
      <c r="G83" s="3">
        <v>9704584484</v>
      </c>
      <c r="H83" s="9"/>
      <c r="I83" s="9"/>
    </row>
    <row r="84" spans="1:9" ht="15.75" customHeight="1" x14ac:dyDescent="0.2">
      <c r="A84" s="3">
        <v>86</v>
      </c>
      <c r="B84" s="5" t="s">
        <v>201</v>
      </c>
      <c r="C84" s="3">
        <v>1000</v>
      </c>
      <c r="D84" s="3">
        <v>1200</v>
      </c>
      <c r="E84" s="3">
        <f t="shared" si="3"/>
        <v>1.2</v>
      </c>
      <c r="F84" s="3" t="s">
        <v>21</v>
      </c>
      <c r="G84" s="3">
        <v>98510744478</v>
      </c>
      <c r="H84" s="9"/>
      <c r="I84" s="9"/>
    </row>
    <row r="85" spans="1:9" ht="15.75" customHeight="1" x14ac:dyDescent="0.2">
      <c r="A85" s="3">
        <v>87</v>
      </c>
      <c r="B85" s="8" t="s">
        <v>301</v>
      </c>
      <c r="C85" s="17">
        <v>1200</v>
      </c>
      <c r="D85" s="17">
        <v>550</v>
      </c>
      <c r="E85" s="3">
        <f t="shared" si="3"/>
        <v>0.45833333333333331</v>
      </c>
      <c r="F85" s="3" t="s">
        <v>182</v>
      </c>
      <c r="G85" s="15"/>
    </row>
    <row r="86" spans="1:9" ht="15.75" customHeight="1" x14ac:dyDescent="0.2">
      <c r="A86" s="3">
        <v>88</v>
      </c>
      <c r="B86" s="5" t="s">
        <v>25</v>
      </c>
      <c r="C86" s="3">
        <v>1000</v>
      </c>
      <c r="D86" s="3">
        <v>123.893</v>
      </c>
      <c r="E86" s="3">
        <f t="shared" si="3"/>
        <v>0.123893</v>
      </c>
      <c r="F86" s="3" t="s">
        <v>6</v>
      </c>
      <c r="G86" s="3" t="s">
        <v>7</v>
      </c>
      <c r="H86" s="9"/>
      <c r="I86" s="9"/>
    </row>
    <row r="87" spans="1:9" ht="15.75" customHeight="1" x14ac:dyDescent="0.2">
      <c r="A87" s="3">
        <v>89</v>
      </c>
      <c r="B87" s="5" t="s">
        <v>25</v>
      </c>
      <c r="C87" s="3">
        <v>1000</v>
      </c>
      <c r="D87" s="3">
        <v>135</v>
      </c>
      <c r="E87" s="3">
        <f t="shared" si="3"/>
        <v>0.13500000000000001</v>
      </c>
      <c r="F87" s="3" t="s">
        <v>296</v>
      </c>
      <c r="G87" s="3"/>
      <c r="H87" s="9" t="s">
        <v>316</v>
      </c>
      <c r="I87" s="9"/>
    </row>
    <row r="88" spans="1:9" ht="15.75" customHeight="1" x14ac:dyDescent="0.2">
      <c r="A88" s="3">
        <v>90</v>
      </c>
      <c r="B88" s="8" t="s">
        <v>225</v>
      </c>
      <c r="C88" s="17">
        <v>250</v>
      </c>
      <c r="D88" s="17">
        <v>875</v>
      </c>
      <c r="E88" s="17">
        <f t="shared" si="3"/>
        <v>3.5</v>
      </c>
      <c r="F88" s="3" t="s">
        <v>6</v>
      </c>
      <c r="G88" s="3" t="s">
        <v>7</v>
      </c>
      <c r="H88" s="9"/>
      <c r="I88" s="9"/>
    </row>
    <row r="89" spans="1:9" ht="15.75" customHeight="1" x14ac:dyDescent="0.2">
      <c r="A89" s="3">
        <v>91</v>
      </c>
      <c r="B89" s="8" t="s">
        <v>226</v>
      </c>
      <c r="C89" s="17">
        <v>400</v>
      </c>
      <c r="D89" s="17">
        <v>1425</v>
      </c>
      <c r="E89" s="17">
        <f t="shared" si="3"/>
        <v>3.5625</v>
      </c>
      <c r="F89" s="3" t="s">
        <v>6</v>
      </c>
      <c r="G89" s="3" t="s">
        <v>7</v>
      </c>
      <c r="H89" s="9"/>
      <c r="I89" s="9"/>
    </row>
    <row r="90" spans="1:9" ht="15.75" customHeight="1" x14ac:dyDescent="0.2">
      <c r="A90" s="3">
        <v>92</v>
      </c>
      <c r="B90" s="5" t="s">
        <v>190</v>
      </c>
      <c r="C90" s="3">
        <v>1000</v>
      </c>
      <c r="D90" s="3">
        <v>400</v>
      </c>
      <c r="E90" s="3">
        <f t="shared" si="3"/>
        <v>0.4</v>
      </c>
      <c r="F90" s="19" t="s">
        <v>296</v>
      </c>
      <c r="G90" s="3"/>
      <c r="H90" s="9" t="s">
        <v>317</v>
      </c>
      <c r="I90" s="9"/>
    </row>
    <row r="91" spans="1:9" ht="15.75" customHeight="1" x14ac:dyDescent="0.2">
      <c r="A91" s="3">
        <v>93</v>
      </c>
      <c r="B91" s="5" t="s">
        <v>318</v>
      </c>
      <c r="C91" s="17">
        <v>1000</v>
      </c>
      <c r="D91" s="17">
        <v>247</v>
      </c>
      <c r="E91" s="17">
        <f t="shared" si="3"/>
        <v>0.247</v>
      </c>
      <c r="F91" s="17"/>
      <c r="G91" s="15"/>
      <c r="H91" s="14" t="s">
        <v>317</v>
      </c>
    </row>
    <row r="92" spans="1:9" ht="15.75" customHeight="1" x14ac:dyDescent="0.2">
      <c r="A92" s="3">
        <v>94</v>
      </c>
      <c r="B92" s="8" t="s">
        <v>304</v>
      </c>
      <c r="C92" s="17"/>
      <c r="D92" s="17">
        <v>500</v>
      </c>
      <c r="E92" s="3" t="e">
        <f t="shared" si="3"/>
        <v>#DIV/0!</v>
      </c>
      <c r="F92" s="3" t="s">
        <v>182</v>
      </c>
      <c r="G92" s="15"/>
    </row>
    <row r="93" spans="1:9" ht="15.75" customHeight="1" x14ac:dyDescent="0.2">
      <c r="A93" s="3">
        <v>95</v>
      </c>
      <c r="B93" s="5" t="s">
        <v>192</v>
      </c>
      <c r="C93" s="3">
        <v>400</v>
      </c>
      <c r="D93" s="3">
        <v>1050</v>
      </c>
      <c r="E93" s="3">
        <f t="shared" si="3"/>
        <v>2.625</v>
      </c>
      <c r="F93" s="3" t="s">
        <v>182</v>
      </c>
      <c r="G93" s="3">
        <v>9704584484</v>
      </c>
      <c r="H93" s="9">
        <v>1140</v>
      </c>
      <c r="I93" s="9"/>
    </row>
    <row r="94" spans="1:9" ht="15.75" customHeight="1" x14ac:dyDescent="0.2">
      <c r="A94" s="3">
        <v>96</v>
      </c>
      <c r="B94" s="8" t="s">
        <v>219</v>
      </c>
      <c r="C94" s="17">
        <v>40</v>
      </c>
      <c r="D94" s="17">
        <v>650</v>
      </c>
      <c r="E94" s="3">
        <f t="shared" si="3"/>
        <v>16.25</v>
      </c>
      <c r="F94" s="17" t="s">
        <v>220</v>
      </c>
      <c r="G94" s="15"/>
      <c r="H94" s="9"/>
      <c r="I94" s="9"/>
    </row>
    <row r="95" spans="1:9" ht="15.75" customHeight="1" x14ac:dyDescent="0.2">
      <c r="A95" s="3">
        <v>97</v>
      </c>
      <c r="B95" s="5" t="s">
        <v>27</v>
      </c>
      <c r="C95" s="3">
        <v>500</v>
      </c>
      <c r="D95" s="3">
        <v>50</v>
      </c>
      <c r="E95" s="3">
        <f t="shared" si="3"/>
        <v>0.1</v>
      </c>
      <c r="F95" s="3" t="s">
        <v>291</v>
      </c>
      <c r="G95" s="3">
        <v>98510744478</v>
      </c>
      <c r="H95" s="9"/>
      <c r="I95" s="9"/>
    </row>
    <row r="96" spans="1:9" ht="15.75" customHeight="1" x14ac:dyDescent="0.2">
      <c r="A96" s="3">
        <v>98</v>
      </c>
      <c r="B96" s="5" t="s">
        <v>39</v>
      </c>
      <c r="C96" s="3">
        <v>1000</v>
      </c>
      <c r="D96" s="3">
        <v>140</v>
      </c>
      <c r="E96" s="3">
        <f t="shared" si="3"/>
        <v>0.14000000000000001</v>
      </c>
      <c r="F96" s="3"/>
      <c r="G96" s="3"/>
      <c r="H96" s="9"/>
      <c r="I96" s="9"/>
    </row>
    <row r="97" spans="1:9" ht="15.75" customHeight="1" x14ac:dyDescent="0.2">
      <c r="A97" s="3">
        <v>99</v>
      </c>
      <c r="B97" s="8" t="s">
        <v>205</v>
      </c>
      <c r="C97" s="17">
        <v>1000</v>
      </c>
      <c r="D97" s="17">
        <v>2100</v>
      </c>
      <c r="E97" s="3">
        <f t="shared" si="3"/>
        <v>2.1</v>
      </c>
      <c r="F97" s="3" t="s">
        <v>179</v>
      </c>
      <c r="G97" s="3">
        <v>9704584484</v>
      </c>
      <c r="H97" s="9"/>
      <c r="I97" s="9"/>
    </row>
    <row r="98" spans="1:9" ht="15.75" customHeight="1" x14ac:dyDescent="0.2">
      <c r="A98" s="3">
        <v>100</v>
      </c>
      <c r="B98" s="8" t="s">
        <v>206</v>
      </c>
      <c r="C98" s="17">
        <v>1000</v>
      </c>
      <c r="D98" s="17">
        <v>2100</v>
      </c>
      <c r="E98" s="3">
        <f t="shared" si="3"/>
        <v>2.1</v>
      </c>
      <c r="F98" s="3" t="s">
        <v>179</v>
      </c>
      <c r="G98" s="3">
        <v>9704584484</v>
      </c>
      <c r="H98" s="9"/>
      <c r="I98" s="9"/>
    </row>
    <row r="99" spans="1:9" ht="15.75" customHeight="1" x14ac:dyDescent="0.2">
      <c r="A99" s="3">
        <v>101</v>
      </c>
      <c r="B99" s="8" t="s">
        <v>207</v>
      </c>
      <c r="C99" s="17">
        <v>1000</v>
      </c>
      <c r="D99" s="17">
        <v>2100</v>
      </c>
      <c r="E99" s="3">
        <f t="shared" si="3"/>
        <v>2.1</v>
      </c>
      <c r="F99" s="3" t="s">
        <v>179</v>
      </c>
      <c r="G99" s="3">
        <v>9704584484</v>
      </c>
      <c r="H99" s="9"/>
      <c r="I99" s="9"/>
    </row>
    <row r="100" spans="1:9" ht="15.75" customHeight="1" x14ac:dyDescent="0.2">
      <c r="A100" s="3">
        <v>102</v>
      </c>
      <c r="B100" s="27" t="s">
        <v>234</v>
      </c>
      <c r="C100" s="17">
        <v>100</v>
      </c>
      <c r="D100" s="17">
        <v>500</v>
      </c>
      <c r="E100" s="17">
        <f t="shared" si="3"/>
        <v>5</v>
      </c>
      <c r="F100" s="17" t="s">
        <v>235</v>
      </c>
      <c r="G100" s="15" t="s">
        <v>242</v>
      </c>
      <c r="H100" s="9"/>
      <c r="I100" s="9"/>
    </row>
    <row r="101" spans="1:9" ht="15.75" customHeight="1" x14ac:dyDescent="0.2">
      <c r="A101" s="3">
        <v>103</v>
      </c>
      <c r="B101" s="5" t="s">
        <v>28</v>
      </c>
      <c r="C101" s="3">
        <v>450</v>
      </c>
      <c r="D101" s="3"/>
      <c r="E101" s="3">
        <f t="shared" si="3"/>
        <v>0</v>
      </c>
      <c r="F101" s="3"/>
      <c r="G101" s="3"/>
      <c r="H101" s="9"/>
      <c r="I101" s="9"/>
    </row>
    <row r="102" spans="1:9" ht="15.75" customHeight="1" x14ac:dyDescent="0.2">
      <c r="A102" s="3">
        <v>104</v>
      </c>
      <c r="B102" s="5" t="s">
        <v>202</v>
      </c>
      <c r="C102" s="3">
        <v>2500</v>
      </c>
      <c r="D102" s="3">
        <v>1185</v>
      </c>
      <c r="E102" s="3">
        <f t="shared" si="3"/>
        <v>0.47399999999999998</v>
      </c>
      <c r="F102" s="3"/>
      <c r="G102" s="3"/>
      <c r="H102" s="9" t="s">
        <v>319</v>
      </c>
      <c r="I102" s="9"/>
    </row>
    <row r="103" spans="1:9" ht="15.75" customHeight="1" x14ac:dyDescent="0.2">
      <c r="A103" s="3">
        <v>105</v>
      </c>
      <c r="B103" s="5" t="s">
        <v>170</v>
      </c>
      <c r="C103" s="3">
        <v>1000</v>
      </c>
      <c r="D103" s="3">
        <v>450</v>
      </c>
      <c r="E103" s="3">
        <f t="shared" si="3"/>
        <v>0.45</v>
      </c>
      <c r="F103" s="3"/>
      <c r="G103" s="3"/>
      <c r="H103" s="12"/>
      <c r="I103" s="12"/>
    </row>
    <row r="104" spans="1:9" ht="15.75" customHeight="1" x14ac:dyDescent="0.2">
      <c r="A104" s="3">
        <v>106</v>
      </c>
      <c r="B104" s="5" t="s">
        <v>203</v>
      </c>
      <c r="C104" s="3">
        <v>1000</v>
      </c>
      <c r="D104" s="3">
        <v>750</v>
      </c>
      <c r="E104" s="3">
        <f t="shared" si="3"/>
        <v>0.75</v>
      </c>
      <c r="F104" s="3" t="s">
        <v>11</v>
      </c>
      <c r="G104" s="3"/>
      <c r="H104" s="9"/>
      <c r="I104" s="9"/>
    </row>
    <row r="105" spans="1:9" ht="15.75" customHeight="1" x14ac:dyDescent="0.2">
      <c r="A105" s="3">
        <v>107</v>
      </c>
      <c r="B105" s="5" t="s">
        <v>164</v>
      </c>
      <c r="C105" s="3">
        <v>1000</v>
      </c>
      <c r="D105" s="3">
        <v>620</v>
      </c>
      <c r="E105" s="3">
        <f t="shared" si="3"/>
        <v>0.62</v>
      </c>
      <c r="F105" s="3" t="s">
        <v>6</v>
      </c>
      <c r="G105" s="3" t="s">
        <v>7</v>
      </c>
      <c r="H105" s="9"/>
      <c r="I105" s="9"/>
    </row>
    <row r="106" spans="1:9" ht="15.75" customHeight="1" x14ac:dyDescent="0.2">
      <c r="A106" s="3">
        <v>108</v>
      </c>
      <c r="B106" s="5" t="s">
        <v>165</v>
      </c>
      <c r="C106" s="3">
        <v>450</v>
      </c>
      <c r="D106" s="3">
        <v>890</v>
      </c>
      <c r="E106" s="3">
        <f t="shared" si="3"/>
        <v>1.9777777777777779</v>
      </c>
      <c r="F106" s="3" t="s">
        <v>182</v>
      </c>
      <c r="G106" s="3">
        <v>9704584484</v>
      </c>
      <c r="H106" s="9"/>
      <c r="I106" s="9"/>
    </row>
    <row r="107" spans="1:9" ht="15.75" customHeight="1" x14ac:dyDescent="0.2">
      <c r="A107" s="3">
        <v>109</v>
      </c>
      <c r="B107" s="5" t="s">
        <v>195</v>
      </c>
      <c r="C107" s="3">
        <v>450</v>
      </c>
      <c r="D107" s="3">
        <v>890</v>
      </c>
      <c r="E107" s="3">
        <f t="shared" si="3"/>
        <v>1.9777777777777779</v>
      </c>
      <c r="F107" s="3" t="s">
        <v>182</v>
      </c>
      <c r="G107" s="3">
        <v>9704584484</v>
      </c>
      <c r="H107" s="9"/>
      <c r="I107" s="9"/>
    </row>
    <row r="108" spans="1:9" ht="15.75" customHeight="1" x14ac:dyDescent="0.2">
      <c r="A108" s="3">
        <v>110</v>
      </c>
      <c r="B108" s="6" t="s">
        <v>191</v>
      </c>
      <c r="C108" s="3">
        <v>1000</v>
      </c>
      <c r="D108" s="3">
        <v>100</v>
      </c>
      <c r="E108" s="3">
        <f t="shared" si="3"/>
        <v>0.1</v>
      </c>
      <c r="F108" s="3" t="s">
        <v>183</v>
      </c>
      <c r="G108" s="3"/>
      <c r="H108" s="9"/>
      <c r="I108" s="9"/>
    </row>
    <row r="109" spans="1:9" ht="15.75" customHeight="1" x14ac:dyDescent="0.2">
      <c r="A109" s="3">
        <v>111</v>
      </c>
      <c r="B109" s="5" t="s">
        <v>166</v>
      </c>
      <c r="C109" s="3">
        <v>500</v>
      </c>
      <c r="D109" s="3">
        <v>369</v>
      </c>
      <c r="E109" s="3">
        <f t="shared" ref="E109:E140" si="4">(D109/C109)</f>
        <v>0.73799999999999999</v>
      </c>
      <c r="F109" s="3" t="s">
        <v>182</v>
      </c>
      <c r="G109" s="3">
        <v>9704584484</v>
      </c>
      <c r="H109" s="9">
        <v>380</v>
      </c>
      <c r="I109" s="9"/>
    </row>
    <row r="110" spans="1:9" ht="15.75" customHeight="1" x14ac:dyDescent="0.2">
      <c r="A110" s="3">
        <v>112</v>
      </c>
      <c r="B110" s="8" t="s">
        <v>222</v>
      </c>
      <c r="C110" s="17">
        <v>48</v>
      </c>
      <c r="D110" s="17">
        <v>1375</v>
      </c>
      <c r="E110" s="17">
        <f t="shared" si="4"/>
        <v>28.645833333333332</v>
      </c>
      <c r="F110" s="17" t="s">
        <v>224</v>
      </c>
      <c r="G110" s="15"/>
      <c r="H110" s="9"/>
      <c r="I110" s="9"/>
    </row>
    <row r="111" spans="1:9" ht="15.75" customHeight="1" x14ac:dyDescent="0.2">
      <c r="A111" s="3">
        <v>113</v>
      </c>
      <c r="B111" s="8" t="s">
        <v>288</v>
      </c>
      <c r="C111" s="17">
        <v>1000</v>
      </c>
      <c r="D111" s="17">
        <v>380</v>
      </c>
      <c r="E111" s="17">
        <f t="shared" si="4"/>
        <v>0.38</v>
      </c>
      <c r="F111" s="3" t="s">
        <v>182</v>
      </c>
      <c r="G111" s="3">
        <v>9704584484</v>
      </c>
      <c r="H111" s="9"/>
      <c r="I111" s="9"/>
    </row>
    <row r="112" spans="1:9" ht="15.75" customHeight="1" x14ac:dyDescent="0.2">
      <c r="A112" s="3">
        <v>114</v>
      </c>
      <c r="B112" s="8" t="s">
        <v>287</v>
      </c>
      <c r="C112" s="17">
        <v>1000</v>
      </c>
      <c r="D112" s="17">
        <v>240</v>
      </c>
      <c r="E112" s="17">
        <f t="shared" si="4"/>
        <v>0.24</v>
      </c>
      <c r="F112" s="3" t="s">
        <v>188</v>
      </c>
      <c r="G112" s="4">
        <v>9851149071</v>
      </c>
      <c r="H112" s="9"/>
      <c r="I112" s="9"/>
    </row>
    <row r="113" spans="1:9" ht="15.75" customHeight="1" x14ac:dyDescent="0.2">
      <c r="A113" s="3">
        <v>115</v>
      </c>
      <c r="B113" s="27" t="s">
        <v>230</v>
      </c>
      <c r="C113" s="17">
        <v>500</v>
      </c>
      <c r="D113" s="17">
        <v>1800</v>
      </c>
      <c r="E113" s="17">
        <f t="shared" si="4"/>
        <v>3.6</v>
      </c>
      <c r="F113" s="17" t="s">
        <v>235</v>
      </c>
      <c r="G113" s="15" t="s">
        <v>238</v>
      </c>
      <c r="H113" s="9"/>
      <c r="I113" s="9"/>
    </row>
    <row r="114" spans="1:9" ht="15.75" customHeight="1" x14ac:dyDescent="0.2">
      <c r="A114" s="3">
        <v>116</v>
      </c>
      <c r="B114" s="5" t="s">
        <v>186</v>
      </c>
      <c r="C114" s="3">
        <v>1000</v>
      </c>
      <c r="D114" s="3">
        <v>800</v>
      </c>
      <c r="E114" s="3">
        <f t="shared" si="4"/>
        <v>0.8</v>
      </c>
      <c r="F114" s="3" t="s">
        <v>188</v>
      </c>
      <c r="G114" s="3">
        <v>9851149071</v>
      </c>
      <c r="H114" s="9"/>
      <c r="I114" s="9"/>
    </row>
    <row r="115" spans="1:9" ht="15.75" customHeight="1" x14ac:dyDescent="0.2">
      <c r="A115" s="3">
        <v>117</v>
      </c>
      <c r="B115" s="5" t="s">
        <v>29</v>
      </c>
      <c r="C115" s="3">
        <v>1000</v>
      </c>
      <c r="D115" s="3">
        <v>600</v>
      </c>
      <c r="E115" s="3">
        <f t="shared" si="4"/>
        <v>0.6</v>
      </c>
      <c r="F115" s="3" t="s">
        <v>188</v>
      </c>
      <c r="G115" s="3">
        <v>9851149071</v>
      </c>
      <c r="H115" s="9"/>
      <c r="I115" s="9"/>
    </row>
    <row r="116" spans="1:9" ht="15.75" customHeight="1" x14ac:dyDescent="0.2">
      <c r="A116" s="3">
        <v>118</v>
      </c>
      <c r="B116" s="8" t="s">
        <v>284</v>
      </c>
      <c r="C116" s="17">
        <v>830</v>
      </c>
      <c r="D116" s="17">
        <v>460</v>
      </c>
      <c r="E116" s="17">
        <f t="shared" si="4"/>
        <v>0.55421686746987953</v>
      </c>
      <c r="F116" s="3" t="s">
        <v>6</v>
      </c>
      <c r="G116" s="3"/>
      <c r="H116" s="14" t="s">
        <v>333</v>
      </c>
    </row>
    <row r="117" spans="1:9" ht="15.75" customHeight="1" x14ac:dyDescent="0.2">
      <c r="A117" s="3">
        <v>119</v>
      </c>
      <c r="B117" s="5" t="s">
        <v>196</v>
      </c>
      <c r="C117" s="3">
        <v>2000</v>
      </c>
      <c r="D117" s="3">
        <v>1176</v>
      </c>
      <c r="E117" s="3">
        <f t="shared" si="4"/>
        <v>0.58799999999999997</v>
      </c>
      <c r="F117" s="3"/>
      <c r="G117" s="3"/>
      <c r="H117" s="14" t="s">
        <v>320</v>
      </c>
    </row>
    <row r="118" spans="1:9" ht="15.75" customHeight="1" x14ac:dyDescent="0.2">
      <c r="A118" s="3">
        <v>120</v>
      </c>
      <c r="B118" s="27" t="s">
        <v>229</v>
      </c>
      <c r="C118" s="17">
        <v>500</v>
      </c>
      <c r="D118" s="17">
        <v>4000</v>
      </c>
      <c r="E118" s="17">
        <f t="shared" si="4"/>
        <v>8</v>
      </c>
      <c r="F118" s="17" t="s">
        <v>235</v>
      </c>
      <c r="G118" s="15" t="s">
        <v>237</v>
      </c>
    </row>
    <row r="119" spans="1:9" ht="15.75" customHeight="1" x14ac:dyDescent="0.2">
      <c r="A119" s="3">
        <v>121</v>
      </c>
      <c r="B119" s="27" t="s">
        <v>233</v>
      </c>
      <c r="C119" s="17">
        <v>40</v>
      </c>
      <c r="D119" s="17">
        <v>250</v>
      </c>
      <c r="E119" s="17">
        <f t="shared" si="4"/>
        <v>6.25</v>
      </c>
      <c r="F119" s="17" t="s">
        <v>235</v>
      </c>
      <c r="G119" s="15" t="s">
        <v>241</v>
      </c>
    </row>
    <row r="120" spans="1:9" ht="15.75" customHeight="1" x14ac:dyDescent="0.2">
      <c r="A120" s="3">
        <v>122</v>
      </c>
      <c r="B120" s="5" t="s">
        <v>167</v>
      </c>
      <c r="C120" s="3">
        <v>500</v>
      </c>
      <c r="D120" s="3">
        <v>522</v>
      </c>
      <c r="E120" s="3">
        <f t="shared" si="4"/>
        <v>1.044</v>
      </c>
      <c r="F120" s="3" t="s">
        <v>182</v>
      </c>
      <c r="G120" s="3">
        <v>9704584484</v>
      </c>
    </row>
    <row r="121" spans="1:9" ht="15.75" customHeight="1" x14ac:dyDescent="0.2">
      <c r="A121" s="3">
        <v>123</v>
      </c>
      <c r="B121" s="5" t="s">
        <v>298</v>
      </c>
      <c r="C121" s="3">
        <v>200</v>
      </c>
      <c r="D121" s="3">
        <v>1000</v>
      </c>
      <c r="E121" s="3">
        <f t="shared" si="4"/>
        <v>5</v>
      </c>
      <c r="F121" s="3" t="s">
        <v>292</v>
      </c>
      <c r="G121" s="3"/>
      <c r="H121" s="14" t="s">
        <v>299</v>
      </c>
    </row>
    <row r="122" spans="1:9" ht="15.75" customHeight="1" x14ac:dyDescent="0.2">
      <c r="A122" s="3">
        <v>124</v>
      </c>
      <c r="B122" s="5" t="s">
        <v>30</v>
      </c>
      <c r="C122" s="3">
        <v>1000</v>
      </c>
      <c r="D122" s="3">
        <v>25</v>
      </c>
      <c r="E122" s="3">
        <f t="shared" si="4"/>
        <v>2.5000000000000001E-2</v>
      </c>
      <c r="F122" s="3" t="s">
        <v>183</v>
      </c>
      <c r="G122" s="3"/>
    </row>
    <row r="123" spans="1:9" ht="15.75" customHeight="1" x14ac:dyDescent="0.2">
      <c r="A123" s="3">
        <v>125</v>
      </c>
      <c r="B123" s="5" t="s">
        <v>168</v>
      </c>
      <c r="C123" s="3">
        <v>1000</v>
      </c>
      <c r="D123" s="3">
        <v>280</v>
      </c>
      <c r="E123" s="3">
        <f t="shared" si="4"/>
        <v>0.28000000000000003</v>
      </c>
      <c r="F123" s="3" t="s">
        <v>188</v>
      </c>
      <c r="G123" s="3">
        <v>9851149071</v>
      </c>
    </row>
    <row r="124" spans="1:9" ht="15.75" customHeight="1" x14ac:dyDescent="0.2">
      <c r="A124" s="3">
        <v>126</v>
      </c>
      <c r="B124" s="27" t="s">
        <v>231</v>
      </c>
      <c r="C124" s="17">
        <v>500</v>
      </c>
      <c r="D124" s="17">
        <v>2600</v>
      </c>
      <c r="E124" s="17">
        <f t="shared" si="4"/>
        <v>5.2</v>
      </c>
      <c r="F124" s="17" t="s">
        <v>235</v>
      </c>
      <c r="G124" s="15" t="s">
        <v>239</v>
      </c>
    </row>
    <row r="125" spans="1:9" ht="15.75" customHeight="1" x14ac:dyDescent="0.2">
      <c r="A125" s="3">
        <v>127</v>
      </c>
      <c r="B125" s="8" t="s">
        <v>282</v>
      </c>
      <c r="C125" s="17">
        <v>300</v>
      </c>
      <c r="D125" s="17">
        <v>40</v>
      </c>
      <c r="E125" s="17">
        <f t="shared" si="4"/>
        <v>0.13333333333333333</v>
      </c>
      <c r="F125" s="17"/>
      <c r="G125" s="15"/>
    </row>
    <row r="126" spans="1:9" ht="15.75" customHeight="1" x14ac:dyDescent="0.2">
      <c r="A126" s="3">
        <v>128</v>
      </c>
      <c r="B126" s="5" t="s">
        <v>171</v>
      </c>
      <c r="C126" s="3">
        <v>200</v>
      </c>
      <c r="D126" s="3">
        <v>25</v>
      </c>
      <c r="E126" s="3">
        <f t="shared" si="4"/>
        <v>0.125</v>
      </c>
      <c r="F126" s="3" t="s">
        <v>183</v>
      </c>
      <c r="G126" s="3"/>
    </row>
    <row r="127" spans="1:9" ht="15.75" customHeight="1" x14ac:dyDescent="0.2">
      <c r="A127" s="3">
        <v>129</v>
      </c>
      <c r="B127" s="27" t="s">
        <v>232</v>
      </c>
      <c r="C127" s="17">
        <v>50</v>
      </c>
      <c r="D127" s="17">
        <v>250</v>
      </c>
      <c r="E127" s="17">
        <f t="shared" si="4"/>
        <v>5</v>
      </c>
      <c r="F127" s="17" t="s">
        <v>235</v>
      </c>
      <c r="G127" s="15" t="s">
        <v>240</v>
      </c>
    </row>
    <row r="128" spans="1:9" ht="15.75" customHeight="1" x14ac:dyDescent="0.2">
      <c r="A128" s="3">
        <v>130</v>
      </c>
      <c r="B128" s="8" t="s">
        <v>300</v>
      </c>
      <c r="C128" s="17">
        <v>1200</v>
      </c>
      <c r="D128" s="17">
        <v>500</v>
      </c>
      <c r="E128" s="17">
        <f t="shared" si="4"/>
        <v>0.41666666666666669</v>
      </c>
      <c r="F128" s="3" t="s">
        <v>182</v>
      </c>
      <c r="G128" s="15"/>
    </row>
    <row r="129" spans="1:9" ht="15.75" customHeight="1" x14ac:dyDescent="0.2">
      <c r="A129" s="3">
        <v>131</v>
      </c>
      <c r="B129" s="5" t="s">
        <v>169</v>
      </c>
      <c r="C129" s="3">
        <v>1000</v>
      </c>
      <c r="D129" s="3">
        <v>600</v>
      </c>
      <c r="E129" s="3">
        <f t="shared" si="4"/>
        <v>0.6</v>
      </c>
      <c r="F129" s="3" t="s">
        <v>184</v>
      </c>
      <c r="G129" s="3">
        <v>9706548070</v>
      </c>
    </row>
    <row r="130" spans="1:9" ht="15.75" customHeight="1" x14ac:dyDescent="0.2">
      <c r="A130" s="3">
        <v>132</v>
      </c>
      <c r="B130" s="5" t="s">
        <v>42</v>
      </c>
      <c r="C130" s="3">
        <v>1000</v>
      </c>
      <c r="D130" s="3">
        <v>100</v>
      </c>
      <c r="E130" s="3">
        <f t="shared" si="4"/>
        <v>0.1</v>
      </c>
      <c r="F130" s="3" t="s">
        <v>6</v>
      </c>
      <c r="G130" s="3" t="s">
        <v>7</v>
      </c>
    </row>
    <row r="131" spans="1:9" ht="15.75" customHeight="1" x14ac:dyDescent="0.2">
      <c r="A131" s="3">
        <v>133</v>
      </c>
      <c r="B131" s="5" t="s">
        <v>198</v>
      </c>
      <c r="C131" s="3">
        <v>100</v>
      </c>
      <c r="D131" s="3">
        <v>240</v>
      </c>
      <c r="E131" s="3">
        <f t="shared" si="4"/>
        <v>2.4</v>
      </c>
      <c r="F131" s="3" t="s">
        <v>182</v>
      </c>
      <c r="G131" s="3">
        <v>9704584484</v>
      </c>
    </row>
    <row r="132" spans="1:9" ht="15.75" customHeight="1" x14ac:dyDescent="0.2">
      <c r="A132" s="3">
        <v>134</v>
      </c>
      <c r="B132" s="5" t="s">
        <v>31</v>
      </c>
      <c r="C132" s="3">
        <v>1000</v>
      </c>
      <c r="D132" s="3">
        <v>230.08</v>
      </c>
      <c r="E132" s="3">
        <f t="shared" si="4"/>
        <v>0.23008000000000001</v>
      </c>
      <c r="F132" s="3" t="s">
        <v>183</v>
      </c>
      <c r="G132" s="3"/>
    </row>
    <row r="133" spans="1:9" ht="15.75" customHeight="1" x14ac:dyDescent="0.2">
      <c r="A133" s="3">
        <v>135</v>
      </c>
      <c r="B133" s="8" t="s">
        <v>285</v>
      </c>
      <c r="C133" s="17">
        <v>1000</v>
      </c>
      <c r="D133" s="17">
        <v>600</v>
      </c>
      <c r="E133" s="17">
        <f t="shared" si="4"/>
        <v>0.6</v>
      </c>
      <c r="F133" s="3" t="s">
        <v>188</v>
      </c>
      <c r="G133" s="3">
        <v>9851149071</v>
      </c>
    </row>
    <row r="134" spans="1:9" ht="15.75" customHeight="1" x14ac:dyDescent="0.2">
      <c r="A134" s="3">
        <v>136</v>
      </c>
      <c r="B134" s="7" t="s">
        <v>35</v>
      </c>
      <c r="C134" s="4"/>
      <c r="D134" s="4">
        <v>154</v>
      </c>
      <c r="E134" s="4" t="e">
        <f t="shared" si="4"/>
        <v>#DIV/0!</v>
      </c>
      <c r="F134" s="4"/>
      <c r="G134" s="4"/>
    </row>
    <row r="135" spans="1:9" ht="15.75" customHeight="1" x14ac:dyDescent="0.2">
      <c r="A135" s="3">
        <v>137</v>
      </c>
      <c r="B135" s="5" t="s">
        <v>197</v>
      </c>
      <c r="C135" s="3">
        <v>450</v>
      </c>
      <c r="D135" s="3">
        <v>125</v>
      </c>
      <c r="E135" s="3">
        <f t="shared" si="4"/>
        <v>0.27777777777777779</v>
      </c>
      <c r="F135" s="3" t="s">
        <v>296</v>
      </c>
      <c r="G135" s="3"/>
    </row>
    <row r="136" spans="1:9" ht="15.75" customHeight="1" x14ac:dyDescent="0.2">
      <c r="A136" s="3">
        <v>138</v>
      </c>
      <c r="B136" s="5" t="s">
        <v>36</v>
      </c>
      <c r="C136" s="3">
        <v>1000</v>
      </c>
      <c r="D136" s="3">
        <v>1428</v>
      </c>
      <c r="E136" s="3">
        <f t="shared" si="4"/>
        <v>1.4279999999999999</v>
      </c>
      <c r="F136" s="3"/>
      <c r="G136" s="3"/>
    </row>
    <row r="137" spans="1:9" ht="15.75" customHeight="1" x14ac:dyDescent="0.2">
      <c r="A137" s="3">
        <v>139</v>
      </c>
      <c r="B137" s="8" t="s">
        <v>211</v>
      </c>
      <c r="C137" s="17">
        <v>100</v>
      </c>
      <c r="D137" s="17">
        <v>120</v>
      </c>
      <c r="E137" s="3">
        <f t="shared" si="4"/>
        <v>1.2</v>
      </c>
      <c r="F137" s="17"/>
      <c r="G137" s="15"/>
    </row>
    <row r="138" spans="1:9" ht="15.75" customHeight="1" x14ac:dyDescent="0.2">
      <c r="A138" s="3">
        <v>140</v>
      </c>
      <c r="B138" s="5" t="s">
        <v>32</v>
      </c>
      <c r="C138" s="3">
        <v>800</v>
      </c>
      <c r="D138" s="3">
        <v>240</v>
      </c>
      <c r="E138" s="3">
        <f t="shared" si="4"/>
        <v>0.3</v>
      </c>
      <c r="F138" s="3" t="s">
        <v>6</v>
      </c>
      <c r="G138" s="3"/>
    </row>
    <row r="139" spans="1:9" ht="15.75" customHeight="1" x14ac:dyDescent="0.2">
      <c r="A139" s="3">
        <v>141</v>
      </c>
      <c r="B139" s="5" t="s">
        <v>65</v>
      </c>
      <c r="C139" s="3">
        <v>500</v>
      </c>
      <c r="D139" s="3">
        <v>345</v>
      </c>
      <c r="E139" s="3">
        <f t="shared" si="4"/>
        <v>0.69</v>
      </c>
      <c r="F139" s="3" t="s">
        <v>6</v>
      </c>
      <c r="G139" s="3" t="s">
        <v>7</v>
      </c>
      <c r="H139" s="14">
        <v>418</v>
      </c>
    </row>
    <row r="140" spans="1:9" ht="15.75" customHeight="1" x14ac:dyDescent="0.2">
      <c r="A140" s="3">
        <v>142</v>
      </c>
      <c r="B140" s="5" t="s">
        <v>37</v>
      </c>
      <c r="C140" s="3">
        <v>700</v>
      </c>
      <c r="D140" s="3">
        <v>90</v>
      </c>
      <c r="E140" s="3">
        <f t="shared" si="4"/>
        <v>0.12857142857142856</v>
      </c>
      <c r="F140" s="3" t="s">
        <v>182</v>
      </c>
      <c r="G140" s="3"/>
    </row>
    <row r="141" spans="1:9" ht="15.75" customHeight="1" x14ac:dyDescent="0.2">
      <c r="A141" s="3">
        <v>143</v>
      </c>
      <c r="B141" s="5" t="s">
        <v>33</v>
      </c>
      <c r="C141" s="3">
        <v>1000</v>
      </c>
      <c r="D141" s="3">
        <v>1100</v>
      </c>
      <c r="E141" s="3">
        <f t="shared" ref="E141:E172" si="5">(D141/C141)</f>
        <v>1.1000000000000001</v>
      </c>
      <c r="F141" s="3" t="s">
        <v>188</v>
      </c>
      <c r="G141" s="3">
        <v>9851149071</v>
      </c>
    </row>
    <row r="142" spans="1:9" ht="15.75" customHeight="1" x14ac:dyDescent="0.2">
      <c r="A142" s="3">
        <v>144</v>
      </c>
      <c r="B142" s="5" t="s">
        <v>41</v>
      </c>
      <c r="C142" s="3">
        <v>2000</v>
      </c>
      <c r="D142" s="3">
        <v>35</v>
      </c>
      <c r="E142" s="3">
        <f t="shared" si="5"/>
        <v>1.7500000000000002E-2</v>
      </c>
      <c r="F142" s="3"/>
      <c r="G142" s="3"/>
    </row>
    <row r="143" spans="1:9" ht="15.75" customHeight="1" x14ac:dyDescent="0.2">
      <c r="A143" s="3">
        <v>145</v>
      </c>
      <c r="B143" s="5" t="s">
        <v>204</v>
      </c>
      <c r="C143" s="3">
        <v>1000</v>
      </c>
      <c r="D143" s="3">
        <v>480</v>
      </c>
      <c r="E143" s="3">
        <f t="shared" si="5"/>
        <v>0.48</v>
      </c>
      <c r="F143" s="3"/>
      <c r="G143" s="3"/>
      <c r="H143" s="14">
        <v>280</v>
      </c>
      <c r="I143" s="14" t="s">
        <v>321</v>
      </c>
    </row>
    <row r="144" spans="1:9" ht="15.75" customHeight="1" x14ac:dyDescent="0.2">
      <c r="A144" s="3">
        <v>146</v>
      </c>
      <c r="B144" s="5" t="s">
        <v>330</v>
      </c>
      <c r="C144" s="3">
        <v>1000</v>
      </c>
      <c r="D144" s="3">
        <v>358.4</v>
      </c>
      <c r="E144" s="3">
        <f t="shared" si="5"/>
        <v>0.3584</v>
      </c>
      <c r="F144" s="3" t="s">
        <v>6</v>
      </c>
      <c r="G144" s="3" t="s">
        <v>7</v>
      </c>
      <c r="H144" s="14">
        <v>350</v>
      </c>
    </row>
    <row r="145" spans="1:8" ht="15.75" customHeight="1" x14ac:dyDescent="0.2">
      <c r="A145" s="3">
        <v>147</v>
      </c>
      <c r="B145" s="5" t="s">
        <v>34</v>
      </c>
      <c r="C145" s="3">
        <v>1000</v>
      </c>
      <c r="D145" s="3">
        <v>522.12300000000005</v>
      </c>
      <c r="E145" s="3">
        <f t="shared" si="5"/>
        <v>0.522123</v>
      </c>
      <c r="F145" s="3" t="s">
        <v>6</v>
      </c>
      <c r="G145" s="3" t="s">
        <v>7</v>
      </c>
      <c r="H145" s="14" t="s">
        <v>297</v>
      </c>
    </row>
    <row r="146" spans="1:8" ht="15.75" customHeight="1" x14ac:dyDescent="0.2">
      <c r="A146" s="3">
        <v>148</v>
      </c>
      <c r="B146" s="28" t="s">
        <v>326</v>
      </c>
      <c r="C146" s="17">
        <v>1000</v>
      </c>
      <c r="D146" s="17">
        <v>600</v>
      </c>
      <c r="E146" s="17">
        <f t="shared" si="5"/>
        <v>0.6</v>
      </c>
      <c r="F146" s="17" t="s">
        <v>188</v>
      </c>
      <c r="G146" s="3">
        <v>9851149071</v>
      </c>
    </row>
    <row r="147" spans="1:8" ht="15.75" customHeight="1" x14ac:dyDescent="0.2">
      <c r="A147" s="21">
        <v>149</v>
      </c>
      <c r="B147" s="22" t="s">
        <v>327</v>
      </c>
      <c r="C147" s="23">
        <v>1000</v>
      </c>
      <c r="D147" s="23">
        <v>610</v>
      </c>
      <c r="E147" s="21">
        <f t="shared" ref="E147:E152" si="6">(D147/C147)</f>
        <v>0.61</v>
      </c>
      <c r="F147" s="18" t="s">
        <v>292</v>
      </c>
      <c r="G147" s="24"/>
    </row>
    <row r="148" spans="1:8" ht="15.75" customHeight="1" x14ac:dyDescent="0.2">
      <c r="A148" s="3">
        <v>150</v>
      </c>
      <c r="B148" s="8" t="s">
        <v>328</v>
      </c>
      <c r="C148" s="17">
        <v>1000</v>
      </c>
      <c r="D148" s="17">
        <v>550</v>
      </c>
      <c r="E148" s="17">
        <f t="shared" si="6"/>
        <v>0.55000000000000004</v>
      </c>
      <c r="F148" s="17"/>
      <c r="G148" s="15"/>
    </row>
    <row r="149" spans="1:8" ht="15.75" customHeight="1" x14ac:dyDescent="0.2">
      <c r="A149" s="21">
        <v>151</v>
      </c>
      <c r="B149" s="8" t="s">
        <v>197</v>
      </c>
      <c r="C149" s="17">
        <v>200</v>
      </c>
      <c r="D149" s="17">
        <v>140</v>
      </c>
      <c r="E149" s="3">
        <f t="shared" si="6"/>
        <v>0.7</v>
      </c>
      <c r="F149" s="17"/>
      <c r="G149" s="15"/>
    </row>
    <row r="150" spans="1:8" ht="15.75" customHeight="1" x14ac:dyDescent="0.2">
      <c r="A150" s="3">
        <v>152</v>
      </c>
      <c r="B150" s="29" t="s">
        <v>334</v>
      </c>
      <c r="C150" s="17">
        <v>60</v>
      </c>
      <c r="D150" s="17">
        <v>395</v>
      </c>
      <c r="E150" s="17">
        <f t="shared" si="6"/>
        <v>6.583333333333333</v>
      </c>
      <c r="F150" s="17"/>
      <c r="G150" s="15"/>
    </row>
    <row r="151" spans="1:8" ht="15.75" customHeight="1" x14ac:dyDescent="0.2">
      <c r="A151" s="21">
        <v>153</v>
      </c>
      <c r="B151" s="29" t="s">
        <v>335</v>
      </c>
      <c r="C151" s="17">
        <v>1200</v>
      </c>
      <c r="D151" s="17">
        <v>180</v>
      </c>
      <c r="E151" s="17">
        <f t="shared" si="6"/>
        <v>0.15</v>
      </c>
      <c r="F151" s="17"/>
      <c r="G151" s="15"/>
    </row>
    <row r="152" spans="1:8" ht="15.75" customHeight="1" x14ac:dyDescent="0.2">
      <c r="A152" s="3">
        <v>154</v>
      </c>
      <c r="B152" s="8" t="s">
        <v>343</v>
      </c>
      <c r="C152" s="17">
        <v>100</v>
      </c>
      <c r="D152" s="17">
        <v>205.66</v>
      </c>
      <c r="E152" s="17">
        <f t="shared" si="6"/>
        <v>2.0566</v>
      </c>
      <c r="F152" s="17" t="s">
        <v>296</v>
      </c>
      <c r="G152" s="15"/>
    </row>
    <row r="153" spans="1:8" ht="15.75" customHeight="1" x14ac:dyDescent="0.2">
      <c r="A153" s="21">
        <v>155</v>
      </c>
      <c r="B153" s="8"/>
      <c r="C153" s="17"/>
      <c r="D153" s="17"/>
      <c r="E153" s="17"/>
      <c r="F153" s="17"/>
      <c r="G153" s="15"/>
    </row>
    <row r="154" spans="1:8" ht="15.75" customHeight="1" x14ac:dyDescent="0.2">
      <c r="A154" s="3">
        <v>156</v>
      </c>
      <c r="B154" s="8"/>
      <c r="C154" s="17"/>
      <c r="D154" s="17"/>
      <c r="E154" s="17"/>
      <c r="F154" s="17"/>
      <c r="G154" s="15"/>
    </row>
    <row r="155" spans="1:8" ht="15.75" customHeight="1" x14ac:dyDescent="0.2">
      <c r="A155" s="21">
        <v>157</v>
      </c>
      <c r="B155" s="8"/>
      <c r="C155" s="17"/>
      <c r="D155" s="17"/>
      <c r="E155" s="17"/>
      <c r="F155" s="17"/>
      <c r="G155" s="15"/>
    </row>
    <row r="156" spans="1:8" ht="15.75" customHeight="1" x14ac:dyDescent="0.2"/>
    <row r="157" spans="1:8" ht="15.75" customHeight="1" x14ac:dyDescent="0.2"/>
    <row r="158" spans="1:8" ht="15.75" customHeight="1" x14ac:dyDescent="0.2"/>
    <row r="159" spans="1:8" ht="15.75" customHeight="1" x14ac:dyDescent="0.2"/>
    <row r="160" spans="1:8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</sheetData>
  <sortState xmlns:xlrd2="http://schemas.microsoft.com/office/spreadsheetml/2017/richdata2" ref="A2:I991">
    <sortCondition ref="B2:B991"/>
  </sortState>
  <phoneticPr fontId="8" type="noConversion"/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BABF1-69A7-FA4D-B78F-3715DFBB4DA6}">
  <dimension ref="A5:B55"/>
  <sheetViews>
    <sheetView zoomScale="75" workbookViewId="0">
      <selection activeCell="A58" sqref="A58"/>
    </sheetView>
  </sheetViews>
  <sheetFormatPr baseColWidth="10" defaultRowHeight="16" x14ac:dyDescent="0.2"/>
  <cols>
    <col min="1" max="1" width="77.6640625" customWidth="1"/>
  </cols>
  <sheetData>
    <row r="5" spans="1:2" x14ac:dyDescent="0.2">
      <c r="A5" t="s">
        <v>244</v>
      </c>
    </row>
    <row r="7" spans="1:2" x14ac:dyDescent="0.2">
      <c r="A7" t="s">
        <v>245</v>
      </c>
    </row>
    <row r="8" spans="1:2" x14ac:dyDescent="0.2">
      <c r="A8" t="s">
        <v>246</v>
      </c>
    </row>
    <row r="9" spans="1:2" x14ac:dyDescent="0.2">
      <c r="A9" t="s">
        <v>268</v>
      </c>
      <c r="B9" t="s">
        <v>267</v>
      </c>
    </row>
    <row r="10" spans="1:2" x14ac:dyDescent="0.2">
      <c r="A10" t="s">
        <v>247</v>
      </c>
    </row>
    <row r="12" spans="1:2" x14ac:dyDescent="0.2">
      <c r="A12" t="s">
        <v>248</v>
      </c>
    </row>
    <row r="14" spans="1:2" x14ac:dyDescent="0.2">
      <c r="A14" t="s">
        <v>249</v>
      </c>
    </row>
    <row r="15" spans="1:2" x14ac:dyDescent="0.2">
      <c r="A15" t="s">
        <v>250</v>
      </c>
    </row>
    <row r="16" spans="1:2" x14ac:dyDescent="0.2">
      <c r="A16" t="s">
        <v>251</v>
      </c>
    </row>
    <row r="17" spans="1:1" x14ac:dyDescent="0.2">
      <c r="A17" t="s">
        <v>252</v>
      </c>
    </row>
    <row r="18" spans="1:1" x14ac:dyDescent="0.2">
      <c r="A18" t="s">
        <v>253</v>
      </c>
    </row>
    <row r="19" spans="1:1" x14ac:dyDescent="0.2">
      <c r="A19" t="s">
        <v>254</v>
      </c>
    </row>
    <row r="20" spans="1:1" x14ac:dyDescent="0.2">
      <c r="A20" t="s">
        <v>255</v>
      </c>
    </row>
    <row r="22" spans="1:1" x14ac:dyDescent="0.2">
      <c r="A22" t="s">
        <v>256</v>
      </c>
    </row>
    <row r="24" spans="1:1" x14ac:dyDescent="0.2">
      <c r="A24" t="s">
        <v>257</v>
      </c>
    </row>
    <row r="25" spans="1:1" x14ac:dyDescent="0.2">
      <c r="A25" t="s">
        <v>258</v>
      </c>
    </row>
    <row r="26" spans="1:1" x14ac:dyDescent="0.2">
      <c r="A26" t="s">
        <v>259</v>
      </c>
    </row>
    <row r="27" spans="1:1" x14ac:dyDescent="0.2">
      <c r="A27" t="s">
        <v>260</v>
      </c>
    </row>
    <row r="28" spans="1:1" x14ac:dyDescent="0.2">
      <c r="A28" t="s">
        <v>261</v>
      </c>
    </row>
    <row r="29" spans="1:1" x14ac:dyDescent="0.2">
      <c r="A29" t="s">
        <v>262</v>
      </c>
    </row>
    <row r="30" spans="1:1" x14ac:dyDescent="0.2">
      <c r="A30" t="s">
        <v>263</v>
      </c>
    </row>
    <row r="31" spans="1:1" x14ac:dyDescent="0.2">
      <c r="A31" t="s">
        <v>264</v>
      </c>
    </row>
    <row r="33" spans="1:1" x14ac:dyDescent="0.2">
      <c r="A33" t="s">
        <v>265</v>
      </c>
    </row>
    <row r="35" spans="1:1" x14ac:dyDescent="0.2">
      <c r="A35" t="s">
        <v>269</v>
      </c>
    </row>
    <row r="36" spans="1:1" x14ac:dyDescent="0.2">
      <c r="A36" t="s">
        <v>266</v>
      </c>
    </row>
    <row r="37" spans="1:1" x14ac:dyDescent="0.2">
      <c r="A37" t="s">
        <v>270</v>
      </c>
    </row>
    <row r="42" spans="1:1" x14ac:dyDescent="0.2">
      <c r="A42" t="s">
        <v>271</v>
      </c>
    </row>
    <row r="44" spans="1:1" x14ac:dyDescent="0.2">
      <c r="A44" t="s">
        <v>272</v>
      </c>
    </row>
    <row r="45" spans="1:1" x14ac:dyDescent="0.2">
      <c r="A45" t="s">
        <v>273</v>
      </c>
    </row>
    <row r="46" spans="1:1" x14ac:dyDescent="0.2">
      <c r="A46" t="s">
        <v>274</v>
      </c>
    </row>
    <row r="47" spans="1:1" x14ac:dyDescent="0.2">
      <c r="A47" t="s">
        <v>280</v>
      </c>
    </row>
    <row r="48" spans="1:1" x14ac:dyDescent="0.2">
      <c r="A48" t="s">
        <v>281</v>
      </c>
    </row>
    <row r="50" spans="1:1" x14ac:dyDescent="0.2">
      <c r="A50" t="s">
        <v>275</v>
      </c>
    </row>
    <row r="52" spans="1:1" x14ac:dyDescent="0.2">
      <c r="A52" t="s">
        <v>276</v>
      </c>
    </row>
    <row r="53" spans="1:1" x14ac:dyDescent="0.2">
      <c r="A53" t="s">
        <v>277</v>
      </c>
    </row>
    <row r="54" spans="1:1" x14ac:dyDescent="0.2">
      <c r="A54" t="s">
        <v>278</v>
      </c>
    </row>
    <row r="55" spans="1:1" x14ac:dyDescent="0.2">
      <c r="A55" t="s">
        <v>279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00"/>
  <sheetViews>
    <sheetView workbookViewId="0"/>
  </sheetViews>
  <sheetFormatPr baseColWidth="10" defaultColWidth="11.1640625" defaultRowHeight="15" customHeight="1" x14ac:dyDescent="0.2"/>
  <cols>
    <col min="1" max="1" width="26" customWidth="1"/>
    <col min="2" max="2" width="43.5" customWidth="1"/>
    <col min="3" max="3" width="19.33203125" customWidth="1"/>
    <col min="4" max="4" width="25.5" customWidth="1"/>
    <col min="5" max="5" width="26.6640625" customWidth="1"/>
    <col min="6" max="6" width="14" customWidth="1"/>
    <col min="7" max="7" width="11.83203125" customWidth="1"/>
    <col min="8" max="8" width="28.5" customWidth="1"/>
    <col min="9" max="9" width="20.33203125" customWidth="1"/>
    <col min="10" max="10" width="18.1640625" customWidth="1"/>
    <col min="11" max="11" width="23.6640625" customWidth="1"/>
    <col min="12" max="12" width="23" customWidth="1"/>
    <col min="13" max="13" width="23.5" customWidth="1"/>
    <col min="14" max="14" width="23.33203125" customWidth="1"/>
    <col min="15" max="15" width="18.83203125" customWidth="1"/>
    <col min="16" max="26" width="10.5" customWidth="1"/>
  </cols>
  <sheetData>
    <row r="1" spans="1:16" ht="15.75" customHeight="1" x14ac:dyDescent="0.2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  <c r="M1" s="1" t="s">
        <v>55</v>
      </c>
      <c r="N1" s="1" t="s">
        <v>56</v>
      </c>
      <c r="O1" s="1" t="s">
        <v>57</v>
      </c>
      <c r="P1" s="1" t="s">
        <v>58</v>
      </c>
    </row>
    <row r="2" spans="1:16" ht="15.75" customHeight="1" x14ac:dyDescent="0.2">
      <c r="B2" s="1" t="s">
        <v>18</v>
      </c>
      <c r="C2" s="1" t="s">
        <v>59</v>
      </c>
      <c r="D2" s="1">
        <v>30</v>
      </c>
      <c r="E2" s="1">
        <v>7</v>
      </c>
      <c r="F2" s="1">
        <f t="shared" ref="F2:F7" si="0">(D2*E2)</f>
        <v>210</v>
      </c>
      <c r="G2" s="1">
        <v>3750</v>
      </c>
      <c r="H2" s="1">
        <f t="shared" ref="H2:H7" si="1">(G2/E2)</f>
        <v>535.71428571428567</v>
      </c>
      <c r="I2" s="1">
        <f t="shared" ref="I2:I7" si="2">(G2/F2)</f>
        <v>17.857142857142858</v>
      </c>
      <c r="J2" s="1">
        <v>10</v>
      </c>
      <c r="K2" s="1">
        <f t="shared" ref="K2:K7" si="3">(F2-J2)</f>
        <v>200</v>
      </c>
      <c r="L2" s="1">
        <f t="shared" ref="L2:L7" si="4">(J2*I2)</f>
        <v>178.57142857142858</v>
      </c>
      <c r="M2" s="1">
        <f t="shared" ref="M2:M7" si="5">(K2*I2)</f>
        <v>3571.4285714285716</v>
      </c>
      <c r="N2" s="1">
        <v>50</v>
      </c>
      <c r="P2" s="1" t="s">
        <v>60</v>
      </c>
    </row>
    <row r="3" spans="1:16" ht="15.75" customHeight="1" x14ac:dyDescent="0.2">
      <c r="B3" s="1" t="s">
        <v>10</v>
      </c>
      <c r="C3" s="1" t="s">
        <v>61</v>
      </c>
      <c r="D3" s="1">
        <v>1000</v>
      </c>
      <c r="E3" s="1">
        <v>1</v>
      </c>
      <c r="F3" s="1">
        <f t="shared" si="0"/>
        <v>1000</v>
      </c>
      <c r="G3" s="1">
        <v>1150</v>
      </c>
      <c r="H3" s="1">
        <f t="shared" si="1"/>
        <v>1150</v>
      </c>
      <c r="I3" s="1">
        <f t="shared" si="2"/>
        <v>1.1499999999999999</v>
      </c>
      <c r="J3" s="1">
        <v>0.5</v>
      </c>
      <c r="K3" s="1">
        <f t="shared" si="3"/>
        <v>999.5</v>
      </c>
      <c r="L3" s="1">
        <f t="shared" si="4"/>
        <v>0.57499999999999996</v>
      </c>
      <c r="M3" s="1">
        <f t="shared" si="5"/>
        <v>1149.425</v>
      </c>
      <c r="N3" s="1">
        <v>2</v>
      </c>
    </row>
    <row r="4" spans="1:16" ht="15.75" customHeight="1" x14ac:dyDescent="0.2">
      <c r="B4" s="1" t="s">
        <v>62</v>
      </c>
      <c r="C4" s="1" t="s">
        <v>61</v>
      </c>
      <c r="D4" s="1">
        <v>1000</v>
      </c>
      <c r="E4" s="1">
        <v>1</v>
      </c>
      <c r="F4" s="1">
        <f t="shared" si="0"/>
        <v>1000</v>
      </c>
      <c r="G4" s="1">
        <v>605</v>
      </c>
      <c r="H4" s="1">
        <f t="shared" si="1"/>
        <v>605</v>
      </c>
      <c r="I4" s="1">
        <f t="shared" si="2"/>
        <v>0.60499999999999998</v>
      </c>
      <c r="J4" s="1">
        <v>10</v>
      </c>
      <c r="K4" s="1">
        <f t="shared" si="3"/>
        <v>990</v>
      </c>
      <c r="L4" s="1">
        <f t="shared" si="4"/>
        <v>6.05</v>
      </c>
      <c r="M4" s="1">
        <f t="shared" si="5"/>
        <v>598.94999999999993</v>
      </c>
      <c r="N4" s="1">
        <v>10</v>
      </c>
    </row>
    <row r="5" spans="1:16" ht="15.75" customHeight="1" x14ac:dyDescent="0.2">
      <c r="B5" s="1" t="s">
        <v>63</v>
      </c>
      <c r="C5" s="1" t="s">
        <v>61</v>
      </c>
      <c r="D5" s="1">
        <v>5000</v>
      </c>
      <c r="E5" s="1">
        <v>1</v>
      </c>
      <c r="F5" s="1">
        <f t="shared" si="0"/>
        <v>5000</v>
      </c>
      <c r="G5" s="1">
        <v>3230.08</v>
      </c>
      <c r="H5" s="1">
        <f t="shared" si="1"/>
        <v>3230.08</v>
      </c>
      <c r="I5" s="1">
        <f t="shared" si="2"/>
        <v>0.64601600000000003</v>
      </c>
      <c r="J5" s="1">
        <v>10</v>
      </c>
      <c r="K5" s="1">
        <f t="shared" si="3"/>
        <v>4990</v>
      </c>
      <c r="L5" s="1">
        <f t="shared" si="4"/>
        <v>6.4601600000000001</v>
      </c>
      <c r="M5" s="1">
        <f t="shared" si="5"/>
        <v>3223.6198400000003</v>
      </c>
      <c r="N5" s="1">
        <v>5</v>
      </c>
    </row>
    <row r="6" spans="1:16" ht="15.75" customHeight="1" x14ac:dyDescent="0.2">
      <c r="B6" s="1" t="s">
        <v>26</v>
      </c>
      <c r="C6" s="1" t="s">
        <v>64</v>
      </c>
      <c r="D6" s="1">
        <v>400</v>
      </c>
      <c r="E6" s="1">
        <v>0</v>
      </c>
      <c r="F6" s="1">
        <f t="shared" si="0"/>
        <v>0</v>
      </c>
      <c r="H6" s="1" t="e">
        <f t="shared" si="1"/>
        <v>#DIV/0!</v>
      </c>
      <c r="I6" s="1" t="e">
        <f t="shared" si="2"/>
        <v>#DIV/0!</v>
      </c>
      <c r="J6" s="1">
        <v>10</v>
      </c>
      <c r="K6" s="1">
        <f t="shared" si="3"/>
        <v>-10</v>
      </c>
      <c r="L6" s="1" t="e">
        <f t="shared" si="4"/>
        <v>#DIV/0!</v>
      </c>
      <c r="M6" s="1" t="e">
        <f t="shared" si="5"/>
        <v>#DIV/0!</v>
      </c>
      <c r="N6" s="1">
        <v>2</v>
      </c>
    </row>
    <row r="7" spans="1:16" ht="15.75" customHeight="1" x14ac:dyDescent="0.2">
      <c r="B7" s="1" t="s">
        <v>65</v>
      </c>
      <c r="C7" s="1" t="s">
        <v>66</v>
      </c>
      <c r="D7" s="1">
        <v>500</v>
      </c>
      <c r="E7" s="1">
        <v>0</v>
      </c>
      <c r="F7" s="1">
        <f t="shared" si="0"/>
        <v>0</v>
      </c>
      <c r="H7" s="1" t="e">
        <f t="shared" si="1"/>
        <v>#DIV/0!</v>
      </c>
      <c r="I7" s="1" t="e">
        <f t="shared" si="2"/>
        <v>#DIV/0!</v>
      </c>
      <c r="J7" s="1">
        <v>10</v>
      </c>
      <c r="K7" s="1">
        <f t="shared" si="3"/>
        <v>-10</v>
      </c>
      <c r="L7" s="1" t="e">
        <f t="shared" si="4"/>
        <v>#DIV/0!</v>
      </c>
      <c r="M7" s="1" t="e">
        <f t="shared" si="5"/>
        <v>#DIV/0!</v>
      </c>
      <c r="N7" s="1">
        <v>1</v>
      </c>
    </row>
    <row r="8" spans="1:16" ht="15.75" customHeight="1" x14ac:dyDescent="0.2"/>
    <row r="9" spans="1:16" ht="15.75" customHeight="1" x14ac:dyDescent="0.2"/>
    <row r="10" spans="1:16" ht="15.75" customHeight="1" x14ac:dyDescent="0.2"/>
    <row r="11" spans="1:16" ht="15.75" customHeight="1" x14ac:dyDescent="0.2"/>
    <row r="12" spans="1:16" ht="15.75" customHeight="1" x14ac:dyDescent="0.2"/>
    <row r="13" spans="1:16" ht="15.75" customHeight="1" x14ac:dyDescent="0.2"/>
    <row r="14" spans="1:16" ht="15.75" customHeight="1" x14ac:dyDescent="0.2"/>
    <row r="15" spans="1:16" ht="15.75" customHeight="1" x14ac:dyDescent="0.2"/>
    <row r="16" spans="1:16" ht="15.75" customHeight="1" x14ac:dyDescent="0.2"/>
    <row r="17" spans="5:5" ht="15.75" customHeight="1" x14ac:dyDescent="0.2"/>
    <row r="18" spans="5:5" ht="15.75" customHeight="1" x14ac:dyDescent="0.2">
      <c r="E18" s="1" t="s">
        <v>67</v>
      </c>
    </row>
    <row r="19" spans="5:5" ht="15.75" customHeight="1" x14ac:dyDescent="0.2">
      <c r="E19" s="1" t="s">
        <v>68</v>
      </c>
    </row>
    <row r="20" spans="5:5" ht="15.75" customHeight="1" x14ac:dyDescent="0.2">
      <c r="E20" s="1" t="s">
        <v>69</v>
      </c>
    </row>
    <row r="21" spans="5:5" ht="15.75" customHeight="1" x14ac:dyDescent="0.2">
      <c r="E21" s="1" t="s">
        <v>70</v>
      </c>
    </row>
    <row r="22" spans="5:5" ht="15.75" customHeight="1" x14ac:dyDescent="0.2">
      <c r="E22" s="1" t="s">
        <v>71</v>
      </c>
    </row>
    <row r="23" spans="5:5" ht="15.75" customHeight="1" x14ac:dyDescent="0.2">
      <c r="E23" s="1" t="s">
        <v>72</v>
      </c>
    </row>
    <row r="24" spans="5:5" ht="15.75" customHeight="1" x14ac:dyDescent="0.2">
      <c r="E24" s="1" t="s">
        <v>73</v>
      </c>
    </row>
    <row r="25" spans="5:5" ht="15.75" customHeight="1" x14ac:dyDescent="0.2">
      <c r="E25" s="1" t="s">
        <v>74</v>
      </c>
    </row>
    <row r="26" spans="5:5" ht="15.75" customHeight="1" x14ac:dyDescent="0.2">
      <c r="E26" s="1" t="s">
        <v>75</v>
      </c>
    </row>
    <row r="27" spans="5:5" ht="15.75" customHeight="1" x14ac:dyDescent="0.2"/>
    <row r="28" spans="5:5" ht="15.75" customHeight="1" x14ac:dyDescent="0.2"/>
    <row r="29" spans="5:5" ht="15.75" customHeight="1" x14ac:dyDescent="0.2"/>
    <row r="30" spans="5:5" ht="15.75" customHeight="1" x14ac:dyDescent="0.2"/>
    <row r="31" spans="5:5" ht="15.75" customHeight="1" x14ac:dyDescent="0.2"/>
    <row r="32" spans="5: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workbookViewId="0">
      <selection sqref="A1:G1"/>
    </sheetView>
  </sheetViews>
  <sheetFormatPr baseColWidth="10" defaultColWidth="11.1640625" defaultRowHeight="15" customHeight="1" x14ac:dyDescent="0.2"/>
  <cols>
    <col min="1" max="1" width="17.6640625" customWidth="1"/>
    <col min="2" max="2" width="34.1640625" customWidth="1"/>
    <col min="3" max="3" width="15.33203125" customWidth="1"/>
    <col min="4" max="4" width="20.6640625" customWidth="1"/>
    <col min="5" max="5" width="20" customWidth="1"/>
    <col min="6" max="26" width="10.5" customWidth="1"/>
  </cols>
  <sheetData>
    <row r="1" spans="1:7" ht="15.75" customHeight="1" x14ac:dyDescent="0.3">
      <c r="A1" s="30" t="s">
        <v>76</v>
      </c>
      <c r="B1" s="31"/>
      <c r="C1" s="31"/>
      <c r="D1" s="31"/>
      <c r="E1" s="31"/>
      <c r="F1" s="31"/>
      <c r="G1" s="31"/>
    </row>
    <row r="2" spans="1:7" ht="15.75" customHeight="1" x14ac:dyDescent="0.2"/>
    <row r="3" spans="1:7" ht="15.75" customHeight="1" x14ac:dyDescent="0.2">
      <c r="A3" s="1" t="s">
        <v>0</v>
      </c>
      <c r="B3" s="1" t="s">
        <v>77</v>
      </c>
      <c r="C3" s="1" t="s">
        <v>78</v>
      </c>
      <c r="D3" s="1" t="s">
        <v>79</v>
      </c>
      <c r="E3" s="1" t="s">
        <v>80</v>
      </c>
      <c r="F3" s="1" t="s">
        <v>81</v>
      </c>
      <c r="G3" s="1" t="s">
        <v>82</v>
      </c>
    </row>
    <row r="4" spans="1:7" ht="15.75" customHeight="1" x14ac:dyDescent="0.2"/>
    <row r="5" spans="1:7" ht="15.75" customHeight="1" x14ac:dyDescent="0.2">
      <c r="A5" s="1">
        <v>1</v>
      </c>
      <c r="B5" s="1" t="s">
        <v>83</v>
      </c>
      <c r="C5" s="1">
        <v>1</v>
      </c>
    </row>
    <row r="6" spans="1:7" ht="15.75" customHeight="1" x14ac:dyDescent="0.2">
      <c r="A6" s="1">
        <v>2</v>
      </c>
      <c r="B6" s="1" t="s">
        <v>84</v>
      </c>
      <c r="C6" s="1">
        <v>1</v>
      </c>
    </row>
    <row r="7" spans="1:7" ht="15.75" customHeight="1" x14ac:dyDescent="0.2">
      <c r="A7" s="1">
        <v>3</v>
      </c>
      <c r="B7" s="1" t="s">
        <v>85</v>
      </c>
      <c r="C7" s="1">
        <v>1</v>
      </c>
    </row>
    <row r="8" spans="1:7" ht="15.75" customHeight="1" x14ac:dyDescent="0.2">
      <c r="A8" s="1">
        <v>4</v>
      </c>
      <c r="B8" s="1" t="s">
        <v>86</v>
      </c>
      <c r="C8" s="1">
        <v>1</v>
      </c>
    </row>
    <row r="9" spans="1:7" ht="15.75" customHeight="1" x14ac:dyDescent="0.2">
      <c r="A9" s="1">
        <v>5</v>
      </c>
      <c r="B9" s="1" t="s">
        <v>87</v>
      </c>
      <c r="C9" s="1">
        <v>1</v>
      </c>
    </row>
    <row r="10" spans="1:7" ht="15.75" customHeight="1" x14ac:dyDescent="0.2">
      <c r="A10" s="1">
        <v>6</v>
      </c>
      <c r="B10" s="1" t="s">
        <v>88</v>
      </c>
      <c r="C10" s="1">
        <v>1</v>
      </c>
    </row>
    <row r="11" spans="1:7" ht="15.75" customHeight="1" x14ac:dyDescent="0.2">
      <c r="A11" s="1">
        <v>7</v>
      </c>
      <c r="B11" s="1" t="s">
        <v>89</v>
      </c>
      <c r="C11" s="1">
        <v>3</v>
      </c>
    </row>
    <row r="12" spans="1:7" ht="15.75" customHeight="1" x14ac:dyDescent="0.2">
      <c r="A12" s="1">
        <v>8</v>
      </c>
      <c r="B12" s="1" t="s">
        <v>90</v>
      </c>
      <c r="C12" s="1">
        <v>1</v>
      </c>
    </row>
    <row r="13" spans="1:7" ht="15.75" customHeight="1" x14ac:dyDescent="0.2">
      <c r="A13" s="1">
        <v>9</v>
      </c>
      <c r="B13" s="1" t="s">
        <v>91</v>
      </c>
      <c r="C13" s="1">
        <v>1</v>
      </c>
    </row>
    <row r="14" spans="1:7" ht="15.75" customHeight="1" x14ac:dyDescent="0.2">
      <c r="A14" s="1">
        <v>10</v>
      </c>
      <c r="B14" s="1" t="s">
        <v>92</v>
      </c>
      <c r="C14" s="1">
        <v>1</v>
      </c>
    </row>
    <row r="15" spans="1:7" ht="15.75" customHeight="1" x14ac:dyDescent="0.2">
      <c r="A15" s="1">
        <v>11</v>
      </c>
      <c r="B15" s="1" t="s">
        <v>93</v>
      </c>
      <c r="C15" s="1">
        <v>2</v>
      </c>
    </row>
    <row r="16" spans="1:7" ht="15.75" customHeight="1" x14ac:dyDescent="0.2">
      <c r="A16" s="1">
        <v>12</v>
      </c>
      <c r="B16" s="1" t="s">
        <v>94</v>
      </c>
      <c r="C16" s="1">
        <v>2</v>
      </c>
    </row>
    <row r="17" spans="1:3" ht="15.75" customHeight="1" x14ac:dyDescent="0.2">
      <c r="A17" s="1">
        <v>13</v>
      </c>
      <c r="B17" s="1" t="s">
        <v>95</v>
      </c>
      <c r="C17" s="1">
        <v>2</v>
      </c>
    </row>
    <row r="18" spans="1:3" ht="15.75" customHeight="1" x14ac:dyDescent="0.2">
      <c r="A18" s="1">
        <v>14</v>
      </c>
      <c r="B18" s="1" t="s">
        <v>96</v>
      </c>
      <c r="C18" s="1">
        <v>12</v>
      </c>
    </row>
    <row r="19" spans="1:3" ht="15.75" customHeight="1" x14ac:dyDescent="0.2">
      <c r="A19" s="1">
        <v>15</v>
      </c>
      <c r="B19" s="1" t="s">
        <v>97</v>
      </c>
      <c r="C19" s="1">
        <v>12</v>
      </c>
    </row>
    <row r="20" spans="1:3" ht="15.75" customHeight="1" x14ac:dyDescent="0.2">
      <c r="A20" s="1">
        <v>16</v>
      </c>
      <c r="B20" s="1" t="s">
        <v>98</v>
      </c>
      <c r="C20" s="1">
        <v>5</v>
      </c>
    </row>
    <row r="21" spans="1:3" ht="15.75" customHeight="1" x14ac:dyDescent="0.2">
      <c r="A21" s="1">
        <v>17</v>
      </c>
      <c r="B21" s="1" t="s">
        <v>99</v>
      </c>
      <c r="C21" s="1">
        <v>1</v>
      </c>
    </row>
    <row r="22" spans="1:3" ht="15.75" customHeight="1" x14ac:dyDescent="0.2">
      <c r="A22" s="1">
        <v>18</v>
      </c>
      <c r="B22" s="1" t="s">
        <v>100</v>
      </c>
      <c r="C22" s="1">
        <v>2</v>
      </c>
    </row>
    <row r="23" spans="1:3" ht="15.75" customHeight="1" x14ac:dyDescent="0.2">
      <c r="A23" s="1">
        <v>19</v>
      </c>
      <c r="B23" s="1" t="s">
        <v>101</v>
      </c>
      <c r="C23" s="1">
        <v>1</v>
      </c>
    </row>
    <row r="24" spans="1:3" ht="15.75" customHeight="1" x14ac:dyDescent="0.2">
      <c r="A24" s="1">
        <v>20</v>
      </c>
      <c r="B24" s="1" t="s">
        <v>102</v>
      </c>
      <c r="C24" s="1">
        <v>1</v>
      </c>
    </row>
    <row r="25" spans="1:3" ht="15.75" customHeight="1" x14ac:dyDescent="0.2">
      <c r="A25" s="1">
        <v>21</v>
      </c>
      <c r="B25" s="1" t="s">
        <v>103</v>
      </c>
      <c r="C25" s="1">
        <v>2</v>
      </c>
    </row>
    <row r="26" spans="1:3" ht="15.75" customHeight="1" x14ac:dyDescent="0.2">
      <c r="A26" s="1">
        <v>22</v>
      </c>
      <c r="B26" s="1" t="s">
        <v>104</v>
      </c>
      <c r="C26" s="1">
        <v>3</v>
      </c>
    </row>
    <row r="27" spans="1:3" ht="15.75" customHeight="1" x14ac:dyDescent="0.2">
      <c r="A27" s="1">
        <v>23</v>
      </c>
      <c r="B27" s="1" t="s">
        <v>105</v>
      </c>
      <c r="C27" s="1">
        <v>1</v>
      </c>
    </row>
    <row r="28" spans="1:3" ht="15.75" customHeight="1" x14ac:dyDescent="0.2">
      <c r="A28" s="1">
        <v>24</v>
      </c>
      <c r="B28" s="1" t="s">
        <v>106</v>
      </c>
      <c r="C28" s="1">
        <v>15</v>
      </c>
    </row>
    <row r="29" spans="1:3" ht="15.75" customHeight="1" x14ac:dyDescent="0.2">
      <c r="A29" s="1">
        <v>25</v>
      </c>
      <c r="B29" s="1" t="s">
        <v>107</v>
      </c>
      <c r="C29" s="1">
        <v>2</v>
      </c>
    </row>
    <row r="30" spans="1:3" ht="15.75" customHeight="1" x14ac:dyDescent="0.2">
      <c r="A30" s="1">
        <v>26</v>
      </c>
      <c r="B30" s="1" t="s">
        <v>108</v>
      </c>
      <c r="C30" s="1">
        <v>2</v>
      </c>
    </row>
    <row r="31" spans="1:3" ht="15.75" customHeight="1" x14ac:dyDescent="0.2">
      <c r="A31" s="1">
        <v>27</v>
      </c>
      <c r="B31" s="1" t="s">
        <v>109</v>
      </c>
      <c r="C31" s="1">
        <v>2</v>
      </c>
    </row>
    <row r="32" spans="1:3" ht="15.75" customHeight="1" x14ac:dyDescent="0.2">
      <c r="A32" s="1">
        <v>28</v>
      </c>
      <c r="B32" s="1" t="s">
        <v>110</v>
      </c>
      <c r="C32" s="1">
        <v>2</v>
      </c>
    </row>
    <row r="33" spans="1:3" ht="15.75" customHeight="1" x14ac:dyDescent="0.2">
      <c r="A33" s="1">
        <v>29</v>
      </c>
      <c r="B33" s="1" t="s">
        <v>111</v>
      </c>
      <c r="C33" s="1">
        <v>1</v>
      </c>
    </row>
    <row r="34" spans="1:3" ht="15.75" customHeight="1" x14ac:dyDescent="0.2">
      <c r="A34" s="1">
        <v>30</v>
      </c>
      <c r="B34" s="1" t="s">
        <v>112</v>
      </c>
      <c r="C34" s="1">
        <v>2</v>
      </c>
    </row>
    <row r="35" spans="1:3" ht="15.75" customHeight="1" x14ac:dyDescent="0.2">
      <c r="A35" s="1">
        <v>30</v>
      </c>
      <c r="B35" s="1" t="s">
        <v>113</v>
      </c>
      <c r="C35" s="1">
        <v>4</v>
      </c>
    </row>
    <row r="36" spans="1:3" ht="15.75" customHeight="1" x14ac:dyDescent="0.2">
      <c r="A36" s="1">
        <v>31</v>
      </c>
      <c r="B36" s="1" t="s">
        <v>114</v>
      </c>
      <c r="C36" s="1">
        <v>1</v>
      </c>
    </row>
    <row r="37" spans="1:3" ht="15.75" customHeight="1" x14ac:dyDescent="0.2">
      <c r="A37" s="1">
        <v>32</v>
      </c>
      <c r="B37" s="1" t="s">
        <v>115</v>
      </c>
      <c r="C37" s="1">
        <v>1</v>
      </c>
    </row>
    <row r="38" spans="1:3" ht="15.75" customHeight="1" x14ac:dyDescent="0.2">
      <c r="A38" s="1">
        <v>33</v>
      </c>
      <c r="B38" s="1" t="s">
        <v>116</v>
      </c>
      <c r="C38" s="1">
        <v>2</v>
      </c>
    </row>
    <row r="39" spans="1:3" ht="15.75" customHeight="1" x14ac:dyDescent="0.2">
      <c r="A39" s="1">
        <v>34</v>
      </c>
      <c r="B39" s="1" t="s">
        <v>117</v>
      </c>
      <c r="C39" s="1">
        <v>1</v>
      </c>
    </row>
    <row r="40" spans="1:3" ht="15.75" customHeight="1" x14ac:dyDescent="0.2">
      <c r="A40" s="1">
        <v>35</v>
      </c>
      <c r="B40" s="1" t="s">
        <v>118</v>
      </c>
    </row>
    <row r="41" spans="1:3" ht="15.75" customHeight="1" x14ac:dyDescent="0.2">
      <c r="A41" s="1">
        <v>36</v>
      </c>
      <c r="B41" s="1" t="s">
        <v>118</v>
      </c>
    </row>
    <row r="42" spans="1:3" ht="15.75" customHeight="1" x14ac:dyDescent="0.2">
      <c r="A42" s="1">
        <v>37</v>
      </c>
      <c r="B42" s="1" t="s">
        <v>118</v>
      </c>
    </row>
    <row r="43" spans="1:3" ht="15.75" customHeight="1" x14ac:dyDescent="0.2">
      <c r="A43" s="1">
        <v>38</v>
      </c>
      <c r="B43" s="1" t="s">
        <v>119</v>
      </c>
      <c r="C43" s="1">
        <v>1</v>
      </c>
    </row>
    <row r="44" spans="1:3" ht="15.75" customHeight="1" x14ac:dyDescent="0.2">
      <c r="A44" s="1">
        <v>39</v>
      </c>
      <c r="B44" s="1" t="s">
        <v>120</v>
      </c>
      <c r="C44" s="1">
        <v>2</v>
      </c>
    </row>
    <row r="45" spans="1:3" ht="15.75" customHeight="1" x14ac:dyDescent="0.2">
      <c r="A45" s="1">
        <v>40</v>
      </c>
      <c r="B45" s="1" t="s">
        <v>121</v>
      </c>
      <c r="C45" s="1">
        <v>1</v>
      </c>
    </row>
    <row r="46" spans="1:3" ht="15.75" customHeight="1" x14ac:dyDescent="0.2">
      <c r="A46" s="1">
        <v>41</v>
      </c>
      <c r="B46" s="1" t="s">
        <v>122</v>
      </c>
      <c r="C46" s="1">
        <v>3</v>
      </c>
    </row>
    <row r="47" spans="1:3" ht="15.75" customHeight="1" x14ac:dyDescent="0.2">
      <c r="A47" s="1">
        <v>42</v>
      </c>
      <c r="B47" s="1" t="s">
        <v>123</v>
      </c>
      <c r="C47" s="1">
        <v>4</v>
      </c>
    </row>
    <row r="48" spans="1:3" ht="15.75" customHeight="1" x14ac:dyDescent="0.2">
      <c r="A48" s="1">
        <v>43</v>
      </c>
      <c r="B48" s="1" t="s">
        <v>124</v>
      </c>
      <c r="C48" s="1">
        <v>5</v>
      </c>
    </row>
    <row r="49" spans="1:3" ht="15.75" customHeight="1" x14ac:dyDescent="0.2">
      <c r="A49" s="1">
        <v>44</v>
      </c>
      <c r="B49" s="1" t="s">
        <v>125</v>
      </c>
    </row>
    <row r="50" spans="1:3" ht="15.75" customHeight="1" x14ac:dyDescent="0.2">
      <c r="A50" s="1">
        <v>45</v>
      </c>
      <c r="B50" s="1" t="s">
        <v>126</v>
      </c>
      <c r="C50" s="1">
        <v>1</v>
      </c>
    </row>
    <row r="51" spans="1:3" ht="15.75" customHeight="1" x14ac:dyDescent="0.2">
      <c r="A51" s="1">
        <v>46</v>
      </c>
      <c r="B51" s="1" t="s">
        <v>127</v>
      </c>
      <c r="C51" s="1">
        <v>1</v>
      </c>
    </row>
    <row r="52" spans="1:3" ht="15.75" customHeight="1" x14ac:dyDescent="0.2">
      <c r="A52" s="1">
        <v>47</v>
      </c>
      <c r="B52" s="1" t="s">
        <v>128</v>
      </c>
      <c r="C52" s="1">
        <v>1</v>
      </c>
    </row>
    <row r="53" spans="1:3" ht="15.75" customHeight="1" x14ac:dyDescent="0.2">
      <c r="A53" s="1">
        <v>48</v>
      </c>
      <c r="B53" s="1" t="s">
        <v>129</v>
      </c>
      <c r="C53" s="1">
        <v>1</v>
      </c>
    </row>
    <row r="54" spans="1:3" ht="15.75" customHeight="1" x14ac:dyDescent="0.2">
      <c r="A54" s="1">
        <v>49</v>
      </c>
      <c r="B54" s="1" t="s">
        <v>130</v>
      </c>
      <c r="C54" s="1">
        <v>1</v>
      </c>
    </row>
    <row r="55" spans="1:3" ht="15.75" customHeight="1" x14ac:dyDescent="0.2">
      <c r="A55" s="1">
        <v>50</v>
      </c>
      <c r="B55" s="1" t="s">
        <v>131</v>
      </c>
      <c r="C55" s="1">
        <v>1</v>
      </c>
    </row>
    <row r="56" spans="1:3" ht="15.75" customHeight="1" x14ac:dyDescent="0.2">
      <c r="A56" s="1">
        <v>51</v>
      </c>
      <c r="B56" s="1" t="s">
        <v>132</v>
      </c>
      <c r="C56" s="1">
        <v>1</v>
      </c>
    </row>
    <row r="57" spans="1:3" ht="15.75" customHeight="1" x14ac:dyDescent="0.2">
      <c r="A57" s="1">
        <v>52</v>
      </c>
      <c r="B57" s="1" t="s">
        <v>133</v>
      </c>
      <c r="C57" s="1">
        <v>1</v>
      </c>
    </row>
    <row r="58" spans="1:3" ht="15.75" customHeight="1" x14ac:dyDescent="0.2">
      <c r="A58" s="1">
        <v>53</v>
      </c>
      <c r="B58" s="1" t="s">
        <v>134</v>
      </c>
      <c r="C58" s="1">
        <v>2</v>
      </c>
    </row>
    <row r="59" spans="1:3" ht="15.75" customHeight="1" x14ac:dyDescent="0.2">
      <c r="A59" s="1">
        <v>54</v>
      </c>
      <c r="B59" s="1" t="s">
        <v>135</v>
      </c>
      <c r="C59" s="1">
        <v>1</v>
      </c>
    </row>
    <row r="60" spans="1:3" ht="15.75" customHeight="1" x14ac:dyDescent="0.2">
      <c r="A60" s="1">
        <v>55</v>
      </c>
      <c r="B60" s="1" t="s">
        <v>136</v>
      </c>
      <c r="C60" s="1">
        <v>1</v>
      </c>
    </row>
    <row r="61" spans="1:3" ht="15.75" customHeight="1" x14ac:dyDescent="0.2">
      <c r="A61" s="1">
        <v>56</v>
      </c>
      <c r="B61" s="1" t="s">
        <v>137</v>
      </c>
      <c r="C61" s="1">
        <v>1</v>
      </c>
    </row>
    <row r="62" spans="1:3" ht="15.75" customHeight="1" x14ac:dyDescent="0.2">
      <c r="A62" s="1">
        <v>57</v>
      </c>
      <c r="B62" s="1" t="s">
        <v>138</v>
      </c>
      <c r="C62" s="1">
        <v>4</v>
      </c>
    </row>
    <row r="63" spans="1:3" ht="15.75" customHeight="1" x14ac:dyDescent="0.2">
      <c r="A63" s="1">
        <v>58</v>
      </c>
      <c r="B63" s="1" t="s">
        <v>139</v>
      </c>
      <c r="C63" s="1">
        <v>1</v>
      </c>
    </row>
    <row r="64" spans="1:3" ht="15.75" customHeight="1" x14ac:dyDescent="0.2">
      <c r="A64" s="1">
        <v>59</v>
      </c>
      <c r="B64" s="1" t="s">
        <v>140</v>
      </c>
      <c r="C64" s="1">
        <v>1</v>
      </c>
    </row>
    <row r="65" spans="1:3" ht="15.75" customHeight="1" x14ac:dyDescent="0.2">
      <c r="A65" s="1">
        <v>60</v>
      </c>
      <c r="B65" s="1" t="s">
        <v>141</v>
      </c>
      <c r="C65" s="1">
        <v>6</v>
      </c>
    </row>
    <row r="66" spans="1:3" ht="15.75" customHeight="1" x14ac:dyDescent="0.2">
      <c r="A66" s="1">
        <v>61</v>
      </c>
      <c r="B66" s="1" t="s">
        <v>142</v>
      </c>
      <c r="C66" s="1">
        <v>6</v>
      </c>
    </row>
    <row r="67" spans="1:3" ht="15.75" customHeight="1" x14ac:dyDescent="0.2">
      <c r="A67" s="1">
        <v>62</v>
      </c>
      <c r="B67" s="1" t="s">
        <v>143</v>
      </c>
      <c r="C67" s="1">
        <v>6</v>
      </c>
    </row>
    <row r="68" spans="1:3" ht="15.75" customHeight="1" x14ac:dyDescent="0.2">
      <c r="A68" s="1">
        <v>63</v>
      </c>
      <c r="B68" s="1" t="s">
        <v>144</v>
      </c>
      <c r="C68" s="1">
        <v>1</v>
      </c>
    </row>
    <row r="69" spans="1:3" ht="15.75" customHeight="1" x14ac:dyDescent="0.2">
      <c r="A69" s="1">
        <v>64</v>
      </c>
      <c r="B69" s="1" t="s">
        <v>145</v>
      </c>
      <c r="C69" s="1">
        <v>6</v>
      </c>
    </row>
    <row r="70" spans="1:3" ht="15.75" customHeight="1" x14ac:dyDescent="0.2">
      <c r="A70" s="1">
        <v>65</v>
      </c>
      <c r="B70" s="1" t="s">
        <v>146</v>
      </c>
      <c r="C70" s="1">
        <v>1</v>
      </c>
    </row>
    <row r="71" spans="1:3" ht="15.75" customHeight="1" x14ac:dyDescent="0.2">
      <c r="A71" s="1">
        <v>66</v>
      </c>
    </row>
    <row r="72" spans="1:3" ht="15.75" customHeight="1" x14ac:dyDescent="0.2">
      <c r="A72" s="1">
        <v>67</v>
      </c>
    </row>
    <row r="73" spans="1:3" ht="15.75" customHeight="1" x14ac:dyDescent="0.2">
      <c r="A73" s="1">
        <v>68</v>
      </c>
    </row>
    <row r="74" spans="1:3" ht="15.75" customHeight="1" x14ac:dyDescent="0.2">
      <c r="A74" s="1">
        <v>69</v>
      </c>
    </row>
    <row r="75" spans="1:3" ht="15.75" customHeight="1" x14ac:dyDescent="0.2">
      <c r="A75" s="1">
        <v>70</v>
      </c>
    </row>
    <row r="76" spans="1:3" ht="15.75" customHeight="1" x14ac:dyDescent="0.2">
      <c r="A76" s="1">
        <v>71</v>
      </c>
    </row>
    <row r="77" spans="1:3" ht="15.75" customHeight="1" x14ac:dyDescent="0.2">
      <c r="A77" s="1">
        <v>72</v>
      </c>
    </row>
    <row r="78" spans="1:3" ht="15.75" customHeight="1" x14ac:dyDescent="0.2">
      <c r="A78" s="1">
        <v>73</v>
      </c>
    </row>
    <row r="79" spans="1:3" ht="15.75" customHeight="1" x14ac:dyDescent="0.2">
      <c r="A79" s="1">
        <v>74</v>
      </c>
    </row>
    <row r="80" spans="1:3" ht="15.75" customHeight="1" x14ac:dyDescent="0.2">
      <c r="A80" s="1">
        <v>75</v>
      </c>
    </row>
    <row r="81" spans="1:1" ht="15.75" customHeight="1" x14ac:dyDescent="0.2">
      <c r="A81" s="1">
        <v>76</v>
      </c>
    </row>
    <row r="82" spans="1:1" ht="15.75" customHeight="1" x14ac:dyDescent="0.2">
      <c r="A82" s="1">
        <v>77</v>
      </c>
    </row>
    <row r="83" spans="1:1" ht="15.75" customHeight="1" x14ac:dyDescent="0.2">
      <c r="A83" s="1">
        <v>78</v>
      </c>
    </row>
    <row r="84" spans="1:1" ht="15.75" customHeight="1" x14ac:dyDescent="0.2">
      <c r="A84" s="1">
        <v>79</v>
      </c>
    </row>
    <row r="85" spans="1:1" ht="15.75" customHeight="1" x14ac:dyDescent="0.2">
      <c r="A85" s="1">
        <v>80</v>
      </c>
    </row>
    <row r="86" spans="1:1" ht="15.75" customHeight="1" x14ac:dyDescent="0.2">
      <c r="A86" s="1">
        <v>81</v>
      </c>
    </row>
    <row r="87" spans="1:1" ht="15.75" customHeight="1" x14ac:dyDescent="0.2">
      <c r="A87" s="1">
        <v>82</v>
      </c>
    </row>
    <row r="88" spans="1:1" ht="15.75" customHeight="1" x14ac:dyDescent="0.2">
      <c r="A88" s="1">
        <v>83</v>
      </c>
    </row>
    <row r="89" spans="1:1" ht="15.75" customHeight="1" x14ac:dyDescent="0.2">
      <c r="A89" s="1">
        <v>84</v>
      </c>
    </row>
    <row r="90" spans="1:1" ht="15.75" customHeight="1" x14ac:dyDescent="0.2">
      <c r="A90" s="1">
        <v>85</v>
      </c>
    </row>
    <row r="91" spans="1:1" ht="15.75" customHeight="1" x14ac:dyDescent="0.2">
      <c r="A91" s="1">
        <v>86</v>
      </c>
    </row>
    <row r="92" spans="1:1" ht="15.75" customHeight="1" x14ac:dyDescent="0.2">
      <c r="A92" s="1">
        <v>87</v>
      </c>
    </row>
    <row r="93" spans="1:1" ht="15.75" customHeight="1" x14ac:dyDescent="0.2">
      <c r="A93" s="1">
        <v>88</v>
      </c>
    </row>
    <row r="94" spans="1:1" ht="15.75" customHeight="1" x14ac:dyDescent="0.2">
      <c r="A94" s="1">
        <v>89</v>
      </c>
    </row>
    <row r="95" spans="1:1" ht="15.75" customHeight="1" x14ac:dyDescent="0.2">
      <c r="A95" s="1">
        <v>90</v>
      </c>
    </row>
    <row r="96" spans="1:1" ht="15.75" customHeight="1" x14ac:dyDescent="0.2">
      <c r="A96" s="1">
        <v>91</v>
      </c>
    </row>
    <row r="97" spans="1:1" ht="15.75" customHeight="1" x14ac:dyDescent="0.2">
      <c r="A97" s="1">
        <v>92</v>
      </c>
    </row>
    <row r="98" spans="1:1" ht="15.75" customHeight="1" x14ac:dyDescent="0.2">
      <c r="A98" s="1">
        <v>93</v>
      </c>
    </row>
    <row r="99" spans="1:1" ht="15.75" customHeight="1" x14ac:dyDescent="0.2">
      <c r="A99" s="1">
        <v>94</v>
      </c>
    </row>
    <row r="100" spans="1:1" ht="15.75" customHeight="1" x14ac:dyDescent="0.2">
      <c r="A100" s="1">
        <v>95</v>
      </c>
    </row>
    <row r="101" spans="1:1" ht="15.75" customHeight="1" x14ac:dyDescent="0.2">
      <c r="A101" s="1">
        <v>96</v>
      </c>
    </row>
    <row r="102" spans="1:1" ht="15.75" customHeight="1" x14ac:dyDescent="0.2">
      <c r="A102" s="1">
        <v>97</v>
      </c>
    </row>
    <row r="103" spans="1:1" ht="15.75" customHeight="1" x14ac:dyDescent="0.2">
      <c r="A103" s="1">
        <v>98</v>
      </c>
    </row>
    <row r="104" spans="1:1" ht="15.75" customHeight="1" x14ac:dyDescent="0.2">
      <c r="A104" s="1">
        <v>99</v>
      </c>
    </row>
    <row r="105" spans="1:1" ht="15.75" customHeight="1" x14ac:dyDescent="0.2">
      <c r="A105" s="1">
        <v>100</v>
      </c>
    </row>
    <row r="106" spans="1:1" ht="15.75" customHeight="1" x14ac:dyDescent="0.2">
      <c r="A106" s="1">
        <v>101</v>
      </c>
    </row>
    <row r="107" spans="1:1" ht="15.75" customHeight="1" x14ac:dyDescent="0.2">
      <c r="A107" s="1">
        <v>102</v>
      </c>
    </row>
    <row r="108" spans="1:1" ht="15.75" customHeight="1" x14ac:dyDescent="0.2">
      <c r="A108" s="1">
        <v>103</v>
      </c>
    </row>
    <row r="109" spans="1:1" ht="15.75" customHeight="1" x14ac:dyDescent="0.2">
      <c r="A109" s="1">
        <v>104</v>
      </c>
    </row>
    <row r="110" spans="1:1" ht="15.75" customHeight="1" x14ac:dyDescent="0.2">
      <c r="A110" s="1">
        <v>104</v>
      </c>
    </row>
    <row r="111" spans="1:1" ht="15.75" customHeight="1" x14ac:dyDescent="0.2">
      <c r="A111" s="1">
        <v>105</v>
      </c>
    </row>
    <row r="112" spans="1:1" ht="15.75" customHeight="1" x14ac:dyDescent="0.2">
      <c r="A112" s="1">
        <v>106</v>
      </c>
    </row>
    <row r="113" spans="1:1" ht="15.75" customHeight="1" x14ac:dyDescent="0.2">
      <c r="A113" s="1">
        <v>107</v>
      </c>
    </row>
    <row r="114" spans="1:1" ht="15.75" customHeight="1" x14ac:dyDescent="0.2">
      <c r="A114" s="1">
        <v>108</v>
      </c>
    </row>
    <row r="115" spans="1:1" ht="15.75" customHeight="1" x14ac:dyDescent="0.2">
      <c r="A115" s="1">
        <v>109</v>
      </c>
    </row>
    <row r="116" spans="1:1" ht="15.75" customHeight="1" x14ac:dyDescent="0.2">
      <c r="A116" s="1">
        <v>110</v>
      </c>
    </row>
    <row r="117" spans="1:1" ht="15.75" customHeight="1" x14ac:dyDescent="0.2">
      <c r="A117" s="1">
        <v>111</v>
      </c>
    </row>
    <row r="118" spans="1:1" ht="15.75" customHeight="1" x14ac:dyDescent="0.2">
      <c r="A118" s="1">
        <v>112</v>
      </c>
    </row>
    <row r="119" spans="1:1" ht="15.75" customHeight="1" x14ac:dyDescent="0.2">
      <c r="A119" s="1">
        <v>113</v>
      </c>
    </row>
    <row r="120" spans="1:1" ht="15.75" customHeight="1" x14ac:dyDescent="0.2">
      <c r="A120" s="1">
        <v>114</v>
      </c>
    </row>
    <row r="121" spans="1:1" ht="15.75" customHeight="1" x14ac:dyDescent="0.2">
      <c r="A121" s="1">
        <v>115</v>
      </c>
    </row>
    <row r="122" spans="1:1" ht="15.75" customHeight="1" x14ac:dyDescent="0.2">
      <c r="A122" s="1">
        <v>116</v>
      </c>
    </row>
    <row r="123" spans="1:1" ht="15.75" customHeight="1" x14ac:dyDescent="0.2">
      <c r="A123" s="1">
        <v>117</v>
      </c>
    </row>
    <row r="124" spans="1:1" ht="15.75" customHeight="1" x14ac:dyDescent="0.2">
      <c r="A124" s="1">
        <v>118</v>
      </c>
    </row>
    <row r="125" spans="1:1" ht="15.75" customHeight="1" x14ac:dyDescent="0.2">
      <c r="A125" s="1">
        <v>119</v>
      </c>
    </row>
    <row r="126" spans="1:1" ht="15.75" customHeight="1" x14ac:dyDescent="0.2">
      <c r="A126" s="1">
        <v>120</v>
      </c>
    </row>
    <row r="127" spans="1:1" ht="15.75" customHeight="1" x14ac:dyDescent="0.2">
      <c r="A127" s="1">
        <v>121</v>
      </c>
    </row>
    <row r="128" spans="1:1" ht="15.75" customHeight="1" x14ac:dyDescent="0.2">
      <c r="A128" s="1">
        <v>122</v>
      </c>
    </row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G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kitchen_inventory_master</vt:lpstr>
      <vt:lpstr>Sheet1</vt:lpstr>
      <vt:lpstr>Inventory Tracker</vt:lpstr>
      <vt:lpstr>Kitchen 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 Shrestha</dc:creator>
  <cp:lastModifiedBy>Jayan Shrestha</cp:lastModifiedBy>
  <dcterms:created xsi:type="dcterms:W3CDTF">2026-01-11T10:54:14Z</dcterms:created>
  <dcterms:modified xsi:type="dcterms:W3CDTF">2026-03-25T16:02:24Z</dcterms:modified>
</cp:coreProperties>
</file>